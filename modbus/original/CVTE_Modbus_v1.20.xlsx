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360" tabRatio="849" firstSheet="1" activeTab="21"/>
  </bookViews>
  <sheets>
    <sheet name="版本信息" sheetId="20" r:id="rId1"/>
    <sheet name="通讯格式" sheetId="19" r:id="rId2"/>
    <sheet name="WF_Version" sheetId="22" r:id="rId3"/>
    <sheet name="WF_Simplify" sheetId="35" r:id="rId4"/>
    <sheet name="WF_WorkMode" sheetId="25" r:id="rId5"/>
    <sheet name="WF_BAT" sheetId="27" r:id="rId6"/>
    <sheet name="WF_BMS" sheetId="33" r:id="rId7"/>
    <sheet name="WF_LINE" sheetId="26" r:id="rId8"/>
    <sheet name="WF_OP" sheetId="29" r:id="rId9"/>
    <sheet name="WF_PV" sheetId="31" r:id="rId10"/>
    <sheet name="WF_INV" sheetId="28" r:id="rId11"/>
    <sheet name="WF_FAN" sheetId="30" r:id="rId12"/>
    <sheet name="WF_NTC" sheetId="39" r:id="rId13"/>
    <sheet name="WF_FunctionSwitch" sheetId="41" r:id="rId14"/>
    <sheet name="WF_Time" sheetId="40" r:id="rId15"/>
    <sheet name="WF_PARA" sheetId="34" r:id="rId16"/>
    <sheet name="WF_Admin" sheetId="23" r:id="rId17"/>
    <sheet name="WF_FCT" sheetId="16" r:id="rId18"/>
    <sheet name="WF_Calibration" sheetId="42" r:id="rId19"/>
    <sheet name="WF_Generator" sheetId="43" r:id="rId20"/>
    <sheet name="WF_OTA" sheetId="45" r:id="rId21"/>
    <sheet name="WF_UserSet" sheetId="44" r:id="rId22"/>
  </sheets>
  <externalReferences>
    <externalReference r:id="rId23"/>
  </externalReferences>
  <calcPr calcId="144525"/>
</workbook>
</file>

<file path=xl/sharedStrings.xml><?xml version="1.0" encoding="utf-8"?>
<sst xmlns="http://schemas.openxmlformats.org/spreadsheetml/2006/main" count="3134" uniqueCount="910">
  <si>
    <t>版本</t>
  </si>
  <si>
    <t>撰写人</t>
  </si>
  <si>
    <t>时间</t>
  </si>
  <si>
    <t>更改内容</t>
  </si>
  <si>
    <t>V1.0</t>
  </si>
  <si>
    <t>霍俊鸿</t>
  </si>
  <si>
    <t>初稿</t>
  </si>
  <si>
    <t>V1.1</t>
  </si>
  <si>
    <t>完善外发协议内容</t>
  </si>
  <si>
    <t>V1.2</t>
  </si>
  <si>
    <t>修改对外协议地址，增加冗余设计</t>
  </si>
  <si>
    <t>V1.3</t>
  </si>
  <si>
    <t>毛健琨</t>
  </si>
  <si>
    <t>修改校准地址表，补充校准对象表</t>
  </si>
  <si>
    <t>V1.4</t>
  </si>
  <si>
    <t>1.修正通讯格式描述
2.添加FCT驱动使能寄存器
3.补充逆变直流分量寄存器的地址
4.增加发电机相关寄存器地址
5.补充0x0040字段对于BMS信息的定义
6.补充RTC校准信息</t>
  </si>
  <si>
    <t>V1.5</t>
  </si>
  <si>
    <t>1.增加OTA烧录字段
2.调整用户参数设定字段起始地址</t>
  </si>
  <si>
    <t>V1.6</t>
  </si>
  <si>
    <t>1.Simplify字段数据补充整理
2.删除Rated字段数据
3.电池电流单位修改为0.1A
4.补充说明NTC数据对应的点位
5.用户设定方式修改</t>
  </si>
  <si>
    <t>V1.7</t>
  </si>
  <si>
    <t>1.补充告警码说明
2.删除额定信息字段
3.删除充电模式设置字段
4.更新输出优先级&amp;运行模式描述
5.删除系统错误警告字段
更新可恢复出厂设置的功能描述
6.更新最大充电电流和双路输出设置描述
7.增加机型配置屏幕配置字段</t>
  </si>
  <si>
    <t>V1.8</t>
  </si>
  <si>
    <t>1.增加用户设定当前执行字段
2.变更机型配置描述</t>
  </si>
  <si>
    <t>V1.9</t>
  </si>
  <si>
    <t>1.补充BMS连接状态的描述
2.负载百分比单位修正为‘%’
3.输出模式新增‘GEN’输出优先级新增‘MKP’充电优先级新增‘PVF’
4.新增‘当年市电馈网总量’‘当年输出电量’‘光伏当年发电量’字段
5.修正FCT驱动百分比单位
6.补充校准对象表描述
7.补充BMS协议选择及ID选择的解释说明
8.补充SOC相关设置项的解释说明
9.删除WF_UserExecute字段</t>
  </si>
  <si>
    <t>V1.10</t>
  </si>
  <si>
    <t>1.新增电池功率 市电功率 及 发电机功率字段
（注意 这三个功率值皆为估算值 精度较低！谨慎使用！）
2.更新 用户设置-最大放电电流 字段的描述
3.修正BMS额定容量和当前容量单位
4.补充BMS相关设置项的用法注释说明</t>
  </si>
  <si>
    <t>V1.11</t>
  </si>
  <si>
    <t>1.Simplify字段新增功率相关数据并调整数据结构
2.Line字段补充仅用电功率数据
3.补充UserSet部分设置项的解析</t>
  </si>
  <si>
    <t>V1.12</t>
  </si>
  <si>
    <t>1.新增自动馈网功率切换相关的设置字段</t>
  </si>
  <si>
    <t>V1.13</t>
  </si>
  <si>
    <t>王建飞</t>
  </si>
  <si>
    <t>1.新增工厂测试加速进入充电状态开关（FCT）
2.新增关机前把风扇速度设为 100 标志位</t>
  </si>
  <si>
    <t>V1.14</t>
  </si>
  <si>
    <t>白一婷</t>
  </si>
  <si>
    <t>新增输出功率小于50W下的设置逆变电流参考值的指令</t>
  </si>
  <si>
    <t>V1.15</t>
  </si>
  <si>
    <t>新增按键反向指令</t>
  </si>
  <si>
    <t>V1.16</t>
  </si>
  <si>
    <t>毛健琨
白一婷</t>
  </si>
  <si>
    <t xml:space="preserve">1.依VMH6KU需求变更MDC设置项范围
2.更新Wifi连接标志的定义，以兼容不同Wifi对于断联检测的要求
3.充电优先级新增PVF优先级下设
4.加入双输出截止SOC功能
5.加入母线电压侦测位
6.FCT模式加入按键检测
7.修正故障标志位定义与描述
8.定义0x0040为高8位主版本，低8位次版本的软件版本
9.为适配WIFI界面区分，定义0x0038和0x0039协议识别码，用以区分不同客户和不同机型；
10.0x4105增加部分机型支持的市电最大充电电流定义
</t>
  </si>
  <si>
    <t>V1.17</t>
  </si>
  <si>
    <t>1.新增76、77告警：76CT反接，77市电不稳定
2.机型识别号0x0038复合识别客户与机型，0x0039保留
3.添加对于版本号写入标记的说明</t>
  </si>
  <si>
    <t>V1.18</t>
  </si>
  <si>
    <t>林锦强</t>
  </si>
  <si>
    <t>1.增加5KVMHU的机型描述和参数
2.增加0x1020地址的定义，可读取SN逆变器SN号</t>
  </si>
  <si>
    <t>V1.19</t>
  </si>
  <si>
    <t>1.NTC 页增加放电温度</t>
  </si>
  <si>
    <t>V1.20</t>
  </si>
  <si>
    <t>1.添加对于版本号写入标记的说明
2.补充0x412E设置项的选项
3.新增RGB屏幕下设锁定设置项0x414C</t>
  </si>
  <si>
    <t>字节数</t>
  </si>
  <si>
    <t>帧格式</t>
  </si>
  <si>
    <t>从机地址</t>
  </si>
  <si>
    <t>功能码</t>
  </si>
  <si>
    <t>起始地址</t>
  </si>
  <si>
    <t>寄存器个数
高位</t>
  </si>
  <si>
    <t>寄存器个数
低位</t>
  </si>
  <si>
    <t>CRC16</t>
  </si>
  <si>
    <t>高位</t>
  </si>
  <si>
    <t>低位</t>
  </si>
  <si>
    <t>索引</t>
  </si>
  <si>
    <t>说明</t>
  </si>
  <si>
    <t>0x03</t>
  </si>
  <si>
    <t>读数据</t>
  </si>
  <si>
    <t>0x10</t>
  </si>
  <si>
    <t>写数据</t>
  </si>
  <si>
    <t>异常代码</t>
  </si>
  <si>
    <t>协议定义  </t>
  </si>
  <si>
    <t>请求命令功能码不允许</t>
  </si>
  <si>
    <t>请求读写地址越界</t>
  </si>
  <si>
    <t>写数值超出数据设定的上、下限</t>
  </si>
  <si>
    <t>无法接收定时通讯设备回复超过3秒</t>
  </si>
  <si>
    <t>0x03 常规查询发包</t>
  </si>
  <si>
    <t>0x10 常规设置发包</t>
  </si>
  <si>
    <t>1</t>
  </si>
  <si>
    <t>2N</t>
  </si>
  <si>
    <t>寄存器个数</t>
  </si>
  <si>
    <t>CRC 校验</t>
  </si>
  <si>
    <t>数据</t>
  </si>
  <si>
    <t>高字节</t>
  </si>
  <si>
    <t>低字节</t>
  </si>
  <si>
    <t>CRC 低</t>
  </si>
  <si>
    <t>CRC 高</t>
  </si>
  <si>
    <t>示例</t>
  </si>
  <si>
    <t>01</t>
  </si>
  <si>
    <t>03</t>
  </si>
  <si>
    <t>/</t>
  </si>
  <si>
    <t>N</t>
  </si>
  <si>
    <t>CRC</t>
  </si>
  <si>
    <t>10</t>
  </si>
  <si>
    <t>0x03 常规回包</t>
  </si>
  <si>
    <t>0x10 常规回包</t>
  </si>
  <si>
    <t>2</t>
  </si>
  <si>
    <t>字节长度</t>
  </si>
  <si>
    <t>0x10 异常回包</t>
  </si>
  <si>
    <t>83</t>
  </si>
  <si>
    <t>90</t>
  </si>
  <si>
    <t>序号</t>
  </si>
  <si>
    <t>地址的十进制</t>
  </si>
  <si>
    <t>地址</t>
  </si>
  <si>
    <t>变量名</t>
  </si>
  <si>
    <t>权限</t>
  </si>
  <si>
    <t>含义</t>
  </si>
  <si>
    <t>变量类型</t>
  </si>
  <si>
    <t>单位</t>
  </si>
  <si>
    <t>用法</t>
  </si>
  <si>
    <t>低限幅</t>
  </si>
  <si>
    <t>高限幅</t>
  </si>
  <si>
    <t>0000</t>
  </si>
  <si>
    <t>版本状态调试地址集</t>
  </si>
  <si>
    <t>读写</t>
  </si>
  <si>
    <t>SN码</t>
  </si>
  <si>
    <t>uint16_t</t>
  </si>
  <si>
    <t>3</t>
  </si>
  <si>
    <t>4</t>
  </si>
  <si>
    <t>5</t>
  </si>
  <si>
    <t>6</t>
  </si>
  <si>
    <t>7</t>
  </si>
  <si>
    <t>8</t>
  </si>
  <si>
    <t>9</t>
  </si>
  <si>
    <t>11</t>
  </si>
  <si>
    <t>保留</t>
  </si>
  <si>
    <t>12</t>
  </si>
  <si>
    <t>13</t>
  </si>
  <si>
    <t>14</t>
  </si>
  <si>
    <t>15</t>
  </si>
  <si>
    <t>16</t>
  </si>
  <si>
    <t>SN码锁定</t>
  </si>
  <si>
    <t>欲写入SN号，须将该位置写为0xA55A，SN号才能掉电保存</t>
  </si>
  <si>
    <t>17</t>
  </si>
  <si>
    <t>只读</t>
  </si>
  <si>
    <t>协议版本_H</t>
  </si>
  <si>
    <t>18</t>
  </si>
  <si>
    <t>协议版本_L</t>
  </si>
  <si>
    <t>19</t>
  </si>
  <si>
    <t>功率板硬件版本_H</t>
  </si>
  <si>
    <t>20</t>
  </si>
  <si>
    <t>功率板硬件版本_L</t>
  </si>
  <si>
    <t>21</t>
  </si>
  <si>
    <t>控制板硬件版本_H</t>
  </si>
  <si>
    <t>22</t>
  </si>
  <si>
    <t>控制板硬件版本_L</t>
  </si>
  <si>
    <t>23</t>
  </si>
  <si>
    <t>集控版硬件版本H</t>
  </si>
  <si>
    <t>24</t>
  </si>
  <si>
    <t>集控版硬件版本L</t>
  </si>
  <si>
    <t>25</t>
  </si>
  <si>
    <t>功率板软件版本_H</t>
  </si>
  <si>
    <t>26</t>
  </si>
  <si>
    <t>功率板软件版本_L</t>
  </si>
  <si>
    <t>27</t>
  </si>
  <si>
    <t>控制板软件版本_H</t>
  </si>
  <si>
    <t>28</t>
  </si>
  <si>
    <t>控制板软件版本_L</t>
  </si>
  <si>
    <t>29</t>
  </si>
  <si>
    <t>集控版软件版本H</t>
  </si>
  <si>
    <t>30</t>
  </si>
  <si>
    <t>集控版软件版本L</t>
  </si>
  <si>
    <t>31</t>
  </si>
  <si>
    <t>版本时间_H</t>
  </si>
  <si>
    <t>32</t>
  </si>
  <si>
    <t>版本时间_L</t>
  </si>
  <si>
    <t>33</t>
  </si>
  <si>
    <t>CheckSum_H</t>
  </si>
  <si>
    <t>34</t>
  </si>
  <si>
    <t>CheckSum_L</t>
  </si>
  <si>
    <t>35</t>
  </si>
  <si>
    <t>PC通讯协议版本</t>
  </si>
  <si>
    <t>36</t>
  </si>
  <si>
    <t>WiFi通讯协议版本</t>
  </si>
  <si>
    <t>37</t>
  </si>
  <si>
    <t>BMS通讯协议版本</t>
  </si>
  <si>
    <t>38</t>
  </si>
  <si>
    <t>并机通讯协议版本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</si>
  <si>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</si>
  <si>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</si>
  <si>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</si>
  <si>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</si>
  <si>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</si>
  <si>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</si>
  <si>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</si>
  <si>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</si>
  <si>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</si>
  <si>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</si>
  <si>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</si>
  <si>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</si>
  <si>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</si>
  <si>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</si>
  <si>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</si>
  <si>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</si>
  <si>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</si>
  <si>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</si>
  <si>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</si>
  <si>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协议识别码_A</t>
  </si>
  <si>
    <t>适配客户：
0x00：公版
0x01：预留</t>
  </si>
  <si>
    <t>58</t>
  </si>
  <si>
    <t>协议识别码_B</t>
  </si>
  <si>
    <t>适配机型：
0x00：6.5K
0x10：6KU
0x20：5KU</t>
  </si>
  <si>
    <t>59</t>
  </si>
  <si>
    <t>协议识别码_C</t>
  </si>
  <si>
    <t>60</t>
  </si>
  <si>
    <t>协议识别码_D</t>
  </si>
  <si>
    <t>61</t>
  </si>
  <si>
    <t>设备类型_H</t>
  </si>
  <si>
    <t>62</t>
  </si>
  <si>
    <t>设备类型_L</t>
  </si>
  <si>
    <t>63</t>
  </si>
  <si>
    <t>公司信息_H</t>
  </si>
  <si>
    <t>64</t>
  </si>
  <si>
    <t>公司信息_L</t>
  </si>
  <si>
    <t>0040</t>
  </si>
  <si>
    <t>简化信息地址集</t>
  </si>
  <si>
    <t>软件版本（主&amp;次）</t>
  </si>
  <si>
    <t>高8位主版本,低8位次版本</t>
  </si>
  <si>
    <t>BMS连接状态</t>
  </si>
  <si>
    <t>0：ID检索中
1：ID锁定-CAN
2：ID锁定-串口
3: ID远程锁定</t>
  </si>
  <si>
    <t>状态机状态</t>
  </si>
  <si>
    <t>能源终端状态</t>
  </si>
  <si>
    <t>能流状态</t>
  </si>
  <si>
    <t>并机状态</t>
  </si>
  <si>
    <t>故障代码1</t>
  </si>
  <si>
    <t>BIT00: 市电软启失败
BIT01: 母线过压
BIT02: 母线欠压
BIT03: 电池过流
BIT04: 过温
BIT05: 电池过压
BIT06: 电池软启故障
BIT07: 母线短路
BIT08: 逆变软启故障
BIT09: 逆变过压
BIT10: 逆变欠压
BIT11: 逆变短路
BIT12: 负功保护
BIT13: 过载故障
BIT14: 机型号与硬件不匹配
BIT15: 无引导程序</t>
  </si>
  <si>
    <t>故障代码2</t>
  </si>
  <si>
    <t>BIT00: 程序烧录中
BIT01: 光伏反接
BIT02: 并机序列号异常
BIT03: 并机通信异常
BIT04: 并机电池压差过大
BIT05: 并机市电压差过大
BIT06: 并机市电频率差过大
BIT07: 并机设置缺相
BIT08: 并机输出同步丢失
BIT09: BMS故障
BIT10: MCU故障
BIT11: 保留
BIT12: 逆变负载异常</t>
  </si>
  <si>
    <t>告警代码1</t>
  </si>
  <si>
    <t>BIT00: 电池未接
BIT01: 电池欠压
BIT02: 电池低压
BIT03: 充电器短路
BIT04: 预留
BIT05: 电池过充
BIT06: BMS丢失
BIT07: 过温
BIT08: 风扇堵转
BIT09: EEPROM故障
BIT10: 过载
BIT11: 发电机波形异常
BIT12: PV能量弱
BIT13: 并机同步信号丢失
BIT14: 并机设置缺相
BIT15: 并机版本不兼容</t>
  </si>
  <si>
    <t>告警代码2</t>
  </si>
  <si>
    <t>BIT00: 并机通讯异常
BIT01: 并机市电压差或频率过大
BIT02: 低SOC关机
BIT03: 低SOC告警
BIT04: 并机电池压差过大或未接
BIT05: 电池短路
BIT06: 电池低于启动电压
BIT07: 发电机过载
BIT08: 发电机欠压
BIT09: 发电机过压
BIT10: CT反接
BIT11: 市电不稳定</t>
  </si>
  <si>
    <t>A相 市电电压</t>
  </si>
  <si>
    <t>int16_t</t>
  </si>
  <si>
    <t>0.1V</t>
  </si>
  <si>
    <t>A相 市电电流</t>
  </si>
  <si>
    <t>0.01A</t>
  </si>
  <si>
    <t>A相 市电频率</t>
  </si>
  <si>
    <t>0.01Hz</t>
  </si>
  <si>
    <t>A相 市电功率</t>
  </si>
  <si>
    <t>1W</t>
  </si>
  <si>
    <t>A相 发电机电压</t>
  </si>
  <si>
    <t>A相 发电机电流</t>
  </si>
  <si>
    <t>A相 发电机频率</t>
  </si>
  <si>
    <t>A相 发电机功率</t>
  </si>
  <si>
    <t>A相 负载电压</t>
  </si>
  <si>
    <t>A相 负载电流</t>
  </si>
  <si>
    <t>A相 负载频率</t>
  </si>
  <si>
    <t>A相 负载有功功率</t>
  </si>
  <si>
    <t>A相 负载视在功率</t>
  </si>
  <si>
    <t>A相 负载百分比</t>
  </si>
  <si>
    <t>0.1%</t>
  </si>
  <si>
    <t>B相 市电电压</t>
  </si>
  <si>
    <t>B相 市电电流</t>
  </si>
  <si>
    <t>B相 市电频率</t>
  </si>
  <si>
    <t>B相 市电功率</t>
  </si>
  <si>
    <t>B相 发电机电压</t>
  </si>
  <si>
    <t>B相 发电机电流</t>
  </si>
  <si>
    <t>B相 发电机频率</t>
  </si>
  <si>
    <t>B相 发电机功率</t>
  </si>
  <si>
    <t>B相 负载电压</t>
  </si>
  <si>
    <t>B相 负载电流</t>
  </si>
  <si>
    <t>B相 负载频率</t>
  </si>
  <si>
    <t>B相 负载有功功率</t>
  </si>
  <si>
    <t>B相 负载视在功率</t>
  </si>
  <si>
    <t>B相 负载百分比</t>
  </si>
  <si>
    <t>C相 市电电压</t>
  </si>
  <si>
    <t>C相 市电电流</t>
  </si>
  <si>
    <t>C相 市电频率</t>
  </si>
  <si>
    <t>C相 市电功率</t>
  </si>
  <si>
    <t>C相 发电机电压</t>
  </si>
  <si>
    <t>C相 发电机电流</t>
  </si>
  <si>
    <t>C相 发电机频率</t>
  </si>
  <si>
    <t>C相 发电机功率</t>
  </si>
  <si>
    <t>C相 负载电压</t>
  </si>
  <si>
    <t>C相 负载电流</t>
  </si>
  <si>
    <t>C相 负载频率</t>
  </si>
  <si>
    <t>C相 负载有功功率</t>
  </si>
  <si>
    <t>C相 负载视在功率</t>
  </si>
  <si>
    <t>C相 负载百分比</t>
  </si>
  <si>
    <t>65</t>
  </si>
  <si>
    <t>正端 电池电压</t>
  </si>
  <si>
    <t>66</t>
  </si>
  <si>
    <t>正端 电池电流</t>
  </si>
  <si>
    <t>0.1A</t>
  </si>
  <si>
    <t>67</t>
  </si>
  <si>
    <t>负端 电池电压</t>
  </si>
  <si>
    <t>68</t>
  </si>
  <si>
    <t>负端 电池电流</t>
  </si>
  <si>
    <t>69</t>
  </si>
  <si>
    <t>电池容量百分比</t>
  </si>
  <si>
    <t>70</t>
  </si>
  <si>
    <t>电池功率</t>
  </si>
  <si>
    <t>71</t>
  </si>
  <si>
    <t>72</t>
  </si>
  <si>
    <t>73</t>
  </si>
  <si>
    <t>BMS 电池电压</t>
  </si>
  <si>
    <t>74</t>
  </si>
  <si>
    <t>BMS 电池电流</t>
  </si>
  <si>
    <t>75</t>
  </si>
  <si>
    <t>BMS SOC</t>
  </si>
  <si>
    <t>%</t>
  </si>
  <si>
    <t>76</t>
  </si>
  <si>
    <t>BMS 温度</t>
  </si>
  <si>
    <t>℃</t>
  </si>
  <si>
    <t>77</t>
  </si>
  <si>
    <t>BMS恒压点（CV点）</t>
  </si>
  <si>
    <t>78</t>
  </si>
  <si>
    <t>额定容量</t>
  </si>
  <si>
    <t>100mAH</t>
  </si>
  <si>
    <t>79</t>
  </si>
  <si>
    <t>当前容量</t>
  </si>
  <si>
    <t>80</t>
  </si>
  <si>
    <t>BMS通信状态</t>
  </si>
  <si>
    <t>81</t>
  </si>
  <si>
    <t>锂电池组网状态</t>
  </si>
  <si>
    <t>82</t>
  </si>
  <si>
    <t>BMS 故障</t>
  </si>
  <si>
    <t>BMS 告警</t>
  </si>
  <si>
    <t>84</t>
  </si>
  <si>
    <t>85</t>
  </si>
  <si>
    <t>86</t>
  </si>
  <si>
    <t>87</t>
  </si>
  <si>
    <t>光伏1电压</t>
  </si>
  <si>
    <t>88</t>
  </si>
  <si>
    <t>光伏1电流</t>
  </si>
  <si>
    <t>89</t>
  </si>
  <si>
    <t>光伏1功率</t>
  </si>
  <si>
    <t>光伏2电压</t>
  </si>
  <si>
    <t>91</t>
  </si>
  <si>
    <t>光伏2电流</t>
  </si>
  <si>
    <t>92</t>
  </si>
  <si>
    <t>光伏2功率</t>
  </si>
  <si>
    <t>93</t>
  </si>
  <si>
    <t>当日光伏发电量</t>
  </si>
  <si>
    <t>100Wh</t>
  </si>
  <si>
    <t>94</t>
  </si>
  <si>
    <t>光伏发电总量</t>
  </si>
  <si>
    <t>95</t>
  </si>
  <si>
    <t>96</t>
  </si>
  <si>
    <t>0140</t>
  </si>
  <si>
    <t>工作模式</t>
  </si>
  <si>
    <t>输出模式</t>
  </si>
  <si>
    <t>0： APP模式
1： UPS模式
2： GEN模式（部分机型支持）</t>
  </si>
  <si>
    <t>并机模式</t>
  </si>
  <si>
    <t>0： 单机模式
1： 单相并机
2： 三相并机 A相
3： 三相并机 B相
4： 三相并机 C相</t>
  </si>
  <si>
    <t>输出优先级</t>
  </si>
  <si>
    <t>0: GPB
1: PGB
2: PBG
3：MKP（部分机型支持）</t>
  </si>
  <si>
    <t>充电优先级</t>
  </si>
  <si>
    <t>0: PNG
1: OPV
2：PVF（部分机型支持）</t>
  </si>
  <si>
    <t>0:  上电
1： 初始化
2： 待机模式
3： 市电模式
4： 光伏模式
5： 电池模式
6： 发电机模式
7： 故障模式
8： 关机模式
9： 工厂模式
10： 升级模式</t>
  </si>
  <si>
    <t>0150</t>
  </si>
  <si>
    <t>电池信息地址集</t>
  </si>
  <si>
    <t>电池类型</t>
  </si>
  <si>
    <t>0： 铅酸电池
1： 注水电池
2： 三元锂电池
3： 磷酸铁锂电池
4： 自定义电池</t>
  </si>
  <si>
    <t>电池电量百分比</t>
  </si>
  <si>
    <t>1%</t>
  </si>
  <si>
    <t>正端 母线电压</t>
  </si>
  <si>
    <t>负端 电池放电电流</t>
  </si>
  <si>
    <t>正端 电池充电电流</t>
  </si>
  <si>
    <t>正端 过压告警电压</t>
  </si>
  <si>
    <t>正端 低压告警电压</t>
  </si>
  <si>
    <t>正端 双路输出截止电压</t>
  </si>
  <si>
    <t>正端 双路输出截止时间</t>
  </si>
  <si>
    <t>1H</t>
  </si>
  <si>
    <t>正端 电池功率</t>
  </si>
  <si>
    <t>10W</t>
  </si>
  <si>
    <t>负端 母线电压</t>
  </si>
  <si>
    <t>负端 电池充电电流</t>
  </si>
  <si>
    <t>负端 过压告警电压</t>
  </si>
  <si>
    <t>负端 低压告警电压</t>
  </si>
  <si>
    <t>负端 双路输出截止电压</t>
  </si>
  <si>
    <t>负端 双路输出截止时间</t>
  </si>
  <si>
    <t>负端 电池功率</t>
  </si>
  <si>
    <t>充电状态</t>
  </si>
  <si>
    <t>0： 无充电
1： 恒压恒流充电
2： 浮充
3： 均衡充</t>
  </si>
  <si>
    <t>恒压充电电压</t>
  </si>
  <si>
    <t>浮充充电电压</t>
  </si>
  <si>
    <t>恒压充电电流</t>
  </si>
  <si>
    <t>浮充充电电流</t>
  </si>
  <si>
    <t>恒流充电最长时间</t>
  </si>
  <si>
    <t>恒压充电最长时间</t>
  </si>
  <si>
    <t>均衡充电电压</t>
  </si>
  <si>
    <t>均衡充电时间</t>
  </si>
  <si>
    <t>均衡充电延迟时间</t>
  </si>
  <si>
    <t>均衡充电间隔时间</t>
  </si>
  <si>
    <t>1D</t>
  </si>
  <si>
    <t>均衡间隔时间计数器</t>
  </si>
  <si>
    <t>0190</t>
  </si>
  <si>
    <t>BMS 调试地址集</t>
  </si>
  <si>
    <t>通讯协议</t>
  </si>
  <si>
    <t>通讯状态</t>
  </si>
  <si>
    <t>0： ID搜索中
1： ID远程锁定
2： ID锁定</t>
  </si>
  <si>
    <t>包ID</t>
  </si>
  <si>
    <t>电压</t>
  </si>
  <si>
    <t>电流</t>
  </si>
  <si>
    <t>温度</t>
  </si>
  <si>
    <t>1℃</t>
  </si>
  <si>
    <t>SOC</t>
  </si>
  <si>
    <t>SOH</t>
  </si>
  <si>
    <t>10mAH</t>
  </si>
  <si>
    <t>满充容量</t>
  </si>
  <si>
    <t>CV点</t>
  </si>
  <si>
    <t>最大充电电流</t>
  </si>
  <si>
    <t>最大放电电流</t>
  </si>
  <si>
    <t>低SOC告警点</t>
  </si>
  <si>
    <t>低SOC关机点</t>
  </si>
  <si>
    <t>低SOC切市电点</t>
  </si>
  <si>
    <t>高SOC切电池电</t>
  </si>
  <si>
    <t>告警</t>
  </si>
  <si>
    <t>错误</t>
  </si>
  <si>
    <t>01B0</t>
  </si>
  <si>
    <t>市电状态调试地址集</t>
  </si>
  <si>
    <t>A相 市电功率(仅用电)</t>
  </si>
  <si>
    <t>A相 当日市电馈网总量H</t>
  </si>
  <si>
    <t>10Wh</t>
  </si>
  <si>
    <t>A相 当日市电馈网总量L</t>
  </si>
  <si>
    <t>A相 当月市电馈网总量 H</t>
  </si>
  <si>
    <t>A相 当月市电馈网总量 L</t>
  </si>
  <si>
    <t>A相 当年市电馈网总量 H</t>
  </si>
  <si>
    <t>A相 当年市电馈网总量 L</t>
  </si>
  <si>
    <t>A相 总市电馈网总量 H</t>
  </si>
  <si>
    <t>A相 总市电馈网总量 L</t>
  </si>
  <si>
    <t>A相 当日市电用电总量H</t>
  </si>
  <si>
    <t>A相 当日市电用电总量L</t>
  </si>
  <si>
    <t>A相 当月市电用电总量 H</t>
  </si>
  <si>
    <t>A相 当月市电用电总量 L</t>
  </si>
  <si>
    <t>A相 当年市电用电总量 H</t>
  </si>
  <si>
    <t>A相 当年市电用电总量 L</t>
  </si>
  <si>
    <t>A相 总市电用电总量 H</t>
  </si>
  <si>
    <t>A相 总市电用电总量 L</t>
  </si>
  <si>
    <t>B相 市电功率(仅用电)</t>
  </si>
  <si>
    <t>B相 当日市电馈网总量H</t>
  </si>
  <si>
    <t>B相 当日市电馈网总量L</t>
  </si>
  <si>
    <t>B相 当月市电馈网总量 H</t>
  </si>
  <si>
    <t>B相 当月市电馈网总量 L</t>
  </si>
  <si>
    <t>B相 当年市电馈网总量 H</t>
  </si>
  <si>
    <t>B相 当年市电馈网总量 L</t>
  </si>
  <si>
    <t>B相 总市电馈网总量 H</t>
  </si>
  <si>
    <t>B相 总市电馈网总量 L</t>
  </si>
  <si>
    <t>B相 当日市电用电总量H</t>
  </si>
  <si>
    <t>B相 当日市电用电总量L</t>
  </si>
  <si>
    <t>B相 当月市电用电总量 H</t>
  </si>
  <si>
    <t>B相 当月市电用电总量 L</t>
  </si>
  <si>
    <t>B相 当年市电用电总量 H</t>
  </si>
  <si>
    <t>B相 当年市电用电总量 L</t>
  </si>
  <si>
    <t>B相 总市电用电总量 H</t>
  </si>
  <si>
    <t>B相 总市电用电总量 L</t>
  </si>
  <si>
    <t>C相 市电功率(仅用电)</t>
  </si>
  <si>
    <t>C相 当日市电馈网总量H</t>
  </si>
  <si>
    <t>C相 当日市电馈网总量L</t>
  </si>
  <si>
    <t>C相 当月市电馈网总量 H</t>
  </si>
  <si>
    <t>C相 当月市电馈网总量 L</t>
  </si>
  <si>
    <t>C相 当年市电馈网总量 H</t>
  </si>
  <si>
    <t>C相 当年市电馈网总量 L</t>
  </si>
  <si>
    <t>C相 总市电馈网总量 H</t>
  </si>
  <si>
    <t>C相 总市电馈网总量 L</t>
  </si>
  <si>
    <t>C相 当日市电用电总量H</t>
  </si>
  <si>
    <t>C相 当日市电用电总量L</t>
  </si>
  <si>
    <t>C相 当月市电用电总量 H</t>
  </si>
  <si>
    <t>C相 当月市电用电总量 L</t>
  </si>
  <si>
    <t>C相 当年市电用电总量 H</t>
  </si>
  <si>
    <t>C相 当年市电用电总量 L</t>
  </si>
  <si>
    <t>C相 总市电用电总量 H</t>
  </si>
  <si>
    <t>C相 总市电用电总量 L</t>
  </si>
  <si>
    <t>0210</t>
  </si>
  <si>
    <t>输出调试地址集</t>
  </si>
  <si>
    <t>0:GPB
1:PGB
2:PBG
3:MKS</t>
  </si>
  <si>
    <t>运行模式</t>
  </si>
  <si>
    <t>0:APP
1:UPS
2:GEN</t>
  </si>
  <si>
    <t>A相 输出电压</t>
  </si>
  <si>
    <t>A相 输出频率</t>
  </si>
  <si>
    <t>A相 输出电流</t>
  </si>
  <si>
    <t>A相 输出小电流</t>
  </si>
  <si>
    <t>A相 输出有功功率</t>
  </si>
  <si>
    <t>A相 输出视在功率</t>
  </si>
  <si>
    <t>A相 当日输出电量H</t>
  </si>
  <si>
    <t>A相 当日输出电量L</t>
  </si>
  <si>
    <t>A相 当月输出电量H</t>
  </si>
  <si>
    <t>A相 当月输出电量L</t>
  </si>
  <si>
    <t>A相 当年输出电量H</t>
  </si>
  <si>
    <t>A相 当年输出电量L</t>
  </si>
  <si>
    <t>A相 总输出电量 H</t>
  </si>
  <si>
    <t>A相 总输出电量 L</t>
  </si>
  <si>
    <t>B相 输出电压</t>
  </si>
  <si>
    <t>B相 输出频率</t>
  </si>
  <si>
    <t>B相 输出电流</t>
  </si>
  <si>
    <t>B相 输出小电流</t>
  </si>
  <si>
    <t>B相 输出有功功率</t>
  </si>
  <si>
    <t>B相 输出视在功率</t>
  </si>
  <si>
    <t>B相 当日输出电量H</t>
  </si>
  <si>
    <t>B相 当日输出电量L</t>
  </si>
  <si>
    <t>B相 当月输出电量H</t>
  </si>
  <si>
    <t>B相 当月输出电量L</t>
  </si>
  <si>
    <t>B相 当年输出电量H</t>
  </si>
  <si>
    <t>B相 当年输出电量L</t>
  </si>
  <si>
    <t>B相 总输出电量 H</t>
  </si>
  <si>
    <t>B相 总输出电量 L</t>
  </si>
  <si>
    <t>C相 输出电压</t>
  </si>
  <si>
    <t>C相 输出频率</t>
  </si>
  <si>
    <t>C相 输出电流</t>
  </si>
  <si>
    <t>C相 输出小电流</t>
  </si>
  <si>
    <t>C相 输出有功功率</t>
  </si>
  <si>
    <t>C相 输出视在功率</t>
  </si>
  <si>
    <t>C相 当日输出电量H</t>
  </si>
  <si>
    <t>C相 当日输出电量L</t>
  </si>
  <si>
    <t>C相 当月输出电量H</t>
  </si>
  <si>
    <t>C相 当月输出电量L</t>
  </si>
  <si>
    <t>C相 当年输出电量H</t>
  </si>
  <si>
    <t>C相 当年输出电量L</t>
  </si>
  <si>
    <t>C相 总输出电量 H</t>
  </si>
  <si>
    <t>C相 总输出电量 L</t>
  </si>
  <si>
    <t>0260</t>
  </si>
  <si>
    <t>总光伏地址集</t>
  </si>
  <si>
    <t>总光伏电压</t>
  </si>
  <si>
    <t>总光伏电流H</t>
  </si>
  <si>
    <t>总光伏电流L</t>
  </si>
  <si>
    <t>总光伏功率H</t>
  </si>
  <si>
    <t>总光伏功率L</t>
  </si>
  <si>
    <t>总光伏追踪状态</t>
  </si>
  <si>
    <t>总光伏可充电状态</t>
  </si>
  <si>
    <t>总光伏当日发电量H</t>
  </si>
  <si>
    <t>总光伏当日发电量L</t>
  </si>
  <si>
    <t>总光伏当月发电量H</t>
  </si>
  <si>
    <t>总光伏当月发电量L</t>
  </si>
  <si>
    <t>总光伏当年发电量H</t>
  </si>
  <si>
    <t>总光伏当年发电量L</t>
  </si>
  <si>
    <t>总光伏总发电量 H</t>
  </si>
  <si>
    <t>总光伏总发电量 L</t>
  </si>
  <si>
    <t>光伏1追踪状态</t>
  </si>
  <si>
    <t>光伏1可充电状态</t>
  </si>
  <si>
    <t>光伏1当日发电量H</t>
  </si>
  <si>
    <t>光伏1当日发电量L</t>
  </si>
  <si>
    <t>光伏1当月发电量H</t>
  </si>
  <si>
    <t>光伏1当月发电量L</t>
  </si>
  <si>
    <t>光伏1当年发电量H</t>
  </si>
  <si>
    <t>光伏1当年发电量L</t>
  </si>
  <si>
    <t>光伏1总发电量 H</t>
  </si>
  <si>
    <t>光伏1总发电量 L</t>
  </si>
  <si>
    <t>光伏2追踪状态</t>
  </si>
  <si>
    <t>光伏2可充电状态</t>
  </si>
  <si>
    <t>光伏2当日发电量H</t>
  </si>
  <si>
    <t>光伏2当日发电量L</t>
  </si>
  <si>
    <t>光伏2当月发电量H</t>
  </si>
  <si>
    <t>光伏2当月发电量L</t>
  </si>
  <si>
    <t>光伏2当年发电量H</t>
  </si>
  <si>
    <t>光伏2当年发电量L</t>
  </si>
  <si>
    <t>光伏2总发电量 H</t>
  </si>
  <si>
    <t>光伏2总发电量 L</t>
  </si>
  <si>
    <t>02A0</t>
  </si>
  <si>
    <t>逆变地址集</t>
  </si>
  <si>
    <t>逆变电压设置值</t>
  </si>
  <si>
    <t>0.1Hz</t>
  </si>
  <si>
    <t>逆变频率设置值</t>
  </si>
  <si>
    <t>A相 逆变电压</t>
  </si>
  <si>
    <t>A相 逆变频率</t>
  </si>
  <si>
    <t>A相 逆变电流</t>
  </si>
  <si>
    <t>A相 直流分量</t>
  </si>
  <si>
    <t>1mV</t>
  </si>
  <si>
    <t>A相 日输入电量H</t>
  </si>
  <si>
    <t>A相 日输入电量L</t>
  </si>
  <si>
    <t>A相 月输入电量H</t>
  </si>
  <si>
    <t>A相 月输入电量L</t>
  </si>
  <si>
    <t>A相 总输入电量H</t>
  </si>
  <si>
    <t>A相 总输入电量L</t>
  </si>
  <si>
    <t>A相 日输出电量H</t>
  </si>
  <si>
    <t>A相 日输出电量L</t>
  </si>
  <si>
    <t>A相 月输出电量H</t>
  </si>
  <si>
    <t>A相 月输出电量L</t>
  </si>
  <si>
    <t>A相 总输出电量H</t>
  </si>
  <si>
    <t>A相 总输出电量L</t>
  </si>
  <si>
    <t>B相 逆变电压</t>
  </si>
  <si>
    <t>B相 逆变频率</t>
  </si>
  <si>
    <t>B相 逆变电流</t>
  </si>
  <si>
    <t>B相 直流分量</t>
  </si>
  <si>
    <t>B相 日馈网电量H</t>
  </si>
  <si>
    <t>B相 日馈网电量L</t>
  </si>
  <si>
    <t>B相 月馈网电量H</t>
  </si>
  <si>
    <t>B相 月馈网电量L</t>
  </si>
  <si>
    <t>B相 总馈网电量H</t>
  </si>
  <si>
    <t>B相 总馈网电量L</t>
  </si>
  <si>
    <t>C相 逆变电压</t>
  </si>
  <si>
    <t>C相 逆变频率</t>
  </si>
  <si>
    <t>C相 逆变电流</t>
  </si>
  <si>
    <t>C相 直流分量</t>
  </si>
  <si>
    <t>C相 日馈网电量H</t>
  </si>
  <si>
    <t>C相 日馈网电量L</t>
  </si>
  <si>
    <t>C相 月馈网电量H</t>
  </si>
  <si>
    <t>C相 月馈网电量L</t>
  </si>
  <si>
    <t>C相 总馈网电量H</t>
  </si>
  <si>
    <t>C相 总馈网电量L</t>
  </si>
  <si>
    <t>0320</t>
  </si>
  <si>
    <t>风扇信息地址集</t>
  </si>
  <si>
    <t>风扇转速</t>
  </si>
  <si>
    <t>风扇状态</t>
  </si>
  <si>
    <t>非0即为堵转</t>
  </si>
  <si>
    <t>0330</t>
  </si>
  <si>
    <t>温度地址集</t>
  </si>
  <si>
    <t>PV温度</t>
  </si>
  <si>
    <t>INV温度</t>
  </si>
  <si>
    <t>CHG温度</t>
  </si>
  <si>
    <t>CHG2温度</t>
  </si>
  <si>
    <t>环境温度</t>
  </si>
  <si>
    <t>DIS_CHG温度</t>
  </si>
  <si>
    <t>0350</t>
  </si>
  <si>
    <t>特殊功能开关地址集</t>
  </si>
  <si>
    <r>
      <rPr>
        <i/>
        <sz val="10.5"/>
        <rFont val="宋体"/>
        <charset val="134"/>
      </rPr>
      <t>可恢复出厂设置功能</t>
    </r>
    <r>
      <rPr>
        <i/>
        <sz val="10.5"/>
        <rFont val="Consolas"/>
        <charset val="134"/>
      </rPr>
      <t>0 H</t>
    </r>
  </si>
  <si>
    <t>BIT00: 使能SOC回转市电
BIT01: 使能SOC回转电池
BIT02: 使能SOC低压关机
BIT03: 双路输出不限时间
BIT04: BMS ID 自动搜索
BIT05: BMS ID 全采样/过采样
BIT06: 预留
BIT07: 自行熄灭背光
BIT08: 发电机使能</t>
  </si>
  <si>
    <t>可恢复出厂设置功能0 L</t>
  </si>
  <si>
    <t>BIT00: LCD超时自动恢复默认显示页面
BIT01: 过温重启
BIT02: 过载重启
BIT03: 过载转旁路
BIT04: 低功耗省电
BIT05: 市电频率自动检测
BIT06: 输出继电器闭合后再逆变软起
BIT07: 电池开路警告
BIT08: 开启均衡模式充电
BIT09: 预留
BIT10: 馈网功能使能
BIT11: 蜂鸣器静音
BIT12: 双路输出功能使能
BIT13: 默认返回主界面设置
BIT14: 主输入发生改变警告
BIT15: 并机 ID 自动搜索</t>
  </si>
  <si>
    <r>
      <rPr>
        <i/>
        <sz val="10.5"/>
        <rFont val="宋体"/>
        <charset val="134"/>
      </rPr>
      <t>可恢复出厂设置功能</t>
    </r>
    <r>
      <rPr>
        <i/>
        <sz val="10.5"/>
        <rFont val="Consolas"/>
        <charset val="134"/>
      </rPr>
      <t>1 H</t>
    </r>
  </si>
  <si>
    <t>预留</t>
  </si>
  <si>
    <t>可恢复出厂设置功能1 L</t>
  </si>
  <si>
    <r>
      <rPr>
        <i/>
        <sz val="10.5"/>
        <rFont val="宋体"/>
        <charset val="134"/>
      </rPr>
      <t>不可恢复出厂设置功能</t>
    </r>
    <r>
      <rPr>
        <i/>
        <sz val="10.5"/>
        <rFont val="Consolas"/>
        <charset val="134"/>
      </rPr>
      <t>0 H</t>
    </r>
  </si>
  <si>
    <t>不可恢复出厂设置功能0 L</t>
  </si>
  <si>
    <r>
      <rPr>
        <i/>
        <sz val="10.5"/>
        <rFont val="宋体"/>
        <charset val="134"/>
      </rPr>
      <t>不可恢复出厂设置功能</t>
    </r>
    <r>
      <rPr>
        <i/>
        <sz val="10.5"/>
        <rFont val="Consolas"/>
        <charset val="134"/>
      </rPr>
      <t>1 H</t>
    </r>
  </si>
  <si>
    <t>不可恢复出厂设置功能1 L</t>
  </si>
  <si>
    <t>0360</t>
  </si>
  <si>
    <t>时间地址集</t>
  </si>
  <si>
    <t>年</t>
  </si>
  <si>
    <t>月</t>
  </si>
  <si>
    <t>日</t>
  </si>
  <si>
    <t>时</t>
  </si>
  <si>
    <t>分</t>
  </si>
  <si>
    <t>秒</t>
  </si>
  <si>
    <t>0400</t>
  </si>
  <si>
    <t>1000</t>
  </si>
  <si>
    <t>设置&amp;配置</t>
  </si>
  <si>
    <t>恢复出厂设置</t>
  </si>
  <si>
    <t>写1恢复至客户定制</t>
  </si>
  <si>
    <t>写1清除客户定制</t>
  </si>
  <si>
    <t>写1清除校准信息</t>
  </si>
  <si>
    <t>SN号写入</t>
  </si>
  <si>
    <t>写1记忆SN号</t>
  </si>
  <si>
    <t>用户模式:0x0000
管理员模式:0x0001</t>
  </si>
  <si>
    <t>管理员账号</t>
  </si>
  <si>
    <t>不设置默认是用户 只有查询和部分参数的设置权限
管理员可以设置校准值（FCT需要登录管理员）
管理员账号：0x0010
管理员密码：0x1C1A</t>
  </si>
  <si>
    <t>管理员密码</t>
  </si>
  <si>
    <t>授权时间</t>
  </si>
  <si>
    <t>s</t>
  </si>
  <si>
    <t>0xFFFF：永久授权</t>
  </si>
  <si>
    <t>100D</t>
  </si>
  <si>
    <t>100E</t>
  </si>
  <si>
    <t>100F</t>
  </si>
  <si>
    <t>101A</t>
  </si>
  <si>
    <t>101B</t>
  </si>
  <si>
    <t>101C</t>
  </si>
  <si>
    <t>101D</t>
  </si>
  <si>
    <t>101E</t>
  </si>
  <si>
    <t>101F</t>
  </si>
  <si>
    <t>102A</t>
  </si>
  <si>
    <t>102B</t>
  </si>
  <si>
    <t>102C</t>
  </si>
  <si>
    <t>102D</t>
  </si>
  <si>
    <t>102E</t>
  </si>
  <si>
    <t>FCT模式</t>
  </si>
  <si>
    <t>0： 非测试模式
1： 驱动测试模式</t>
  </si>
  <si>
    <t>驱动使能</t>
  </si>
  <si>
    <t>Bit</t>
  </si>
  <si>
    <t>0x0000：关闭
0x0001：放电
0x0002：充电
0x0004：PFC驱动
0x0008：逆变驱动
0x0010：PV驱动
0x0020：L线继电器驱动
0x0040：N线继电器驱动
0x0080：输出继电器驱动
0x0100：辅助继电器驱动
0x0200：L线SCR
0x0400：输出SCR
0x0800：干接点1
0x1000：干接点2</t>
  </si>
  <si>
    <t>放电驱动百分比</t>
  </si>
  <si>
    <t>充电驱动百分比</t>
  </si>
  <si>
    <t>逆变驱动百分比</t>
  </si>
  <si>
    <t>PV驱动百分比</t>
  </si>
  <si>
    <t>继电器状态</t>
  </si>
  <si>
    <t>BIT0:
BIT1:
BIT2:</t>
  </si>
  <si>
    <t>SCR状态</t>
  </si>
  <si>
    <t>风扇驱动百分比</t>
  </si>
  <si>
    <t>干接点开关</t>
  </si>
  <si>
    <t>蜂鸣器开关</t>
  </si>
  <si>
    <t>工厂测试加速进入充电状态开关</t>
  </si>
  <si>
    <t>0：正常模式
1：工厂测试模式，跳过电池未接检测流程加速进入市电充电状态</t>
  </si>
  <si>
    <t>按键状态</t>
  </si>
  <si>
    <t>BIT0:上键触发
BIT1:下键触发
BIT2:确认键触发
BIT3:后退键触发
自第一按键触发始，10s后该位清零</t>
  </si>
  <si>
    <t>校准对象表</t>
  </si>
  <si>
    <t>1200</t>
  </si>
  <si>
    <t>校准信息</t>
  </si>
  <si>
    <t>十进制</t>
  </si>
  <si>
    <t>十六进制</t>
  </si>
  <si>
    <t>对象名</t>
  </si>
  <si>
    <t>测量值单位</t>
  </si>
  <si>
    <t>逆变器读数地址(H)</t>
  </si>
  <si>
    <t>对象</t>
  </si>
  <si>
    <t>uint16</t>
  </si>
  <si>
    <t>0x0001</t>
  </si>
  <si>
    <t>市电电压</t>
  </si>
  <si>
    <t>校准方法</t>
  </si>
  <si>
    <t>0：单点校准
1：两点校准
2：恢复出厂设置</t>
  </si>
  <si>
    <t>0x0002</t>
  </si>
  <si>
    <t>市电电流</t>
  </si>
  <si>
    <t>01B1</t>
  </si>
  <si>
    <t>外部测量值1</t>
  </si>
  <si>
    <t>0x0003</t>
  </si>
  <si>
    <t>市电功率</t>
  </si>
  <si>
    <t>内部测量值1</t>
  </si>
  <si>
    <t>0x0004</t>
  </si>
  <si>
    <t>市电漏电流</t>
  </si>
  <si>
    <t>外部测量值2</t>
  </si>
  <si>
    <t>0x0005</t>
  </si>
  <si>
    <t>发电机电压</t>
  </si>
  <si>
    <t>内部测量值2</t>
  </si>
  <si>
    <t>0x0006</t>
  </si>
  <si>
    <t>发电机电流</t>
  </si>
  <si>
    <t>0x0007</t>
  </si>
  <si>
    <t>发电机功率</t>
  </si>
  <si>
    <t>0x0008</t>
  </si>
  <si>
    <t>逆变电压</t>
  </si>
  <si>
    <t>02AA</t>
  </si>
  <si>
    <t>时间校准使能</t>
  </si>
  <si>
    <t>0：等待/已完成
1：校准
2：重置</t>
  </si>
  <si>
    <t>0x0009</t>
  </si>
  <si>
    <t>逆变直流分量</t>
  </si>
  <si>
    <t>02AD</t>
  </si>
  <si>
    <t>年 校准</t>
  </si>
  <si>
    <t>0x000A</t>
  </si>
  <si>
    <t>逆变电流</t>
  </si>
  <si>
    <t>02AC</t>
  </si>
  <si>
    <t>月 校准</t>
  </si>
  <si>
    <t>0x000B</t>
  </si>
  <si>
    <t>逆变小电流</t>
  </si>
  <si>
    <t>周 校准</t>
  </si>
  <si>
    <t>0x000C</t>
  </si>
  <si>
    <t>逆变小功率</t>
  </si>
  <si>
    <t>日 校准</t>
  </si>
  <si>
    <t>0x000D</t>
  </si>
  <si>
    <t>逆变功率</t>
  </si>
  <si>
    <t>时 校准</t>
  </si>
  <si>
    <t>0x000E</t>
  </si>
  <si>
    <t>输出电压</t>
  </si>
  <si>
    <t>0218</t>
  </si>
  <si>
    <t>分 校准</t>
  </si>
  <si>
    <t>0x000F</t>
  </si>
  <si>
    <t>输出电流</t>
  </si>
  <si>
    <t>021A</t>
  </si>
  <si>
    <t>秒 校准</t>
  </si>
  <si>
    <t>0x0010</t>
  </si>
  <si>
    <t>输出功率</t>
  </si>
  <si>
    <t>021D</t>
  </si>
  <si>
    <t>0x0011</t>
  </si>
  <si>
    <t>0270</t>
  </si>
  <si>
    <t>0x0012</t>
  </si>
  <si>
    <t>0271</t>
  </si>
  <si>
    <t>0x0013</t>
  </si>
  <si>
    <t>0272</t>
  </si>
  <si>
    <t>0x0014</t>
  </si>
  <si>
    <t>0x0015</t>
  </si>
  <si>
    <t>0x0016</t>
  </si>
  <si>
    <t>0x0017</t>
  </si>
  <si>
    <t>母线电压</t>
  </si>
  <si>
    <t>0x0018</t>
  </si>
  <si>
    <t>电池电压</t>
  </si>
  <si>
    <t>0155</t>
  </si>
  <si>
    <t>0x0019</t>
  </si>
  <si>
    <t>电池电流</t>
  </si>
  <si>
    <t>0157</t>
  </si>
  <si>
    <t>0x001A</t>
  </si>
  <si>
    <t>23767</t>
  </si>
  <si>
    <t>0x7FFF</t>
  </si>
  <si>
    <t>全选（用于清除校准）</t>
  </si>
  <si>
    <t>2000</t>
  </si>
  <si>
    <t>发电机状态调试地址集</t>
  </si>
  <si>
    <t>4000</t>
  </si>
  <si>
    <t>升级命令与数据</t>
  </si>
  <si>
    <t>升级命令码</t>
  </si>
  <si>
    <t>命令类型/Bit0-Bit7
软件类型/Bit8-Bit15
命令类型:
ID值 说明
0x00 激活命令，用于加载完成后指示BOOT跳转APP
0x01 跳转命令，用于加载开始时指示APP跳转BOOT
0x02 擦除命令，用于加载过程中指示擦除FLASH
0x20 使用默认的通信波特率（即无需设置）
0x21 设置通信波特率为9600bps
0x22 设置通信波特率为38400bps
0x23 设置通信波特率为115200bps
0x24 设置通信波特率为312500bps
软件类型:
ID值 说明
0x00 升级EMS软件代码
0x01 升级PCS软件代码
0x02 升级BMS软件代码
0x03 升级MCU软件代码
0x10 升级EMS引导代码(预留)
0x11 升级PCS引导代码(预留)
0x12 升级BMS引导代码(预留)
0x13 升级MCU引导代码(预留)</t>
  </si>
  <si>
    <t>升级数据</t>
  </si>
  <si>
    <t>升级数据必须做32位对齐！ 否则芯片写Flash会出错</t>
  </si>
  <si>
    <t>升级状态</t>
  </si>
  <si>
    <t>Bit0-Bit3 EMS升级状态
Bit4-Bit7 PCS升级状态
Bit8-Bit11 BMS升级状态(预留)
Bit12-Bit15 MCU升级状态(预留)
0x00 操作成功
0x01 FLASH写失败
0x02 FLASH写错误，即写入的内容与读出的内容不一致
0x03 FLASH擦除失败
0x04 不支持的软件，即软硬件不匹配
0x05 软件ID错误
0x06 接收到的帧长度与软件头中规定的帧长度不一致
0x07 软件体长度错误帧总数接收，若超出App区最大允许帧数量</t>
  </si>
  <si>
    <t>运行状态</t>
  </si>
  <si>
    <t>Bit0-Bit3 EMS运行状态
Bit4-Bit7 PCS运行状态
Bit8-Bit11 BMS运行状态(预留)
Bit12-Bit15 MCU运行状态(预留)
ID值 说明
0x00 运行在APP区
0x01 运行在BOOT区
0x02 正在升级中
0x03 升级失败</t>
  </si>
  <si>
    <t>上位机设置烧录状态</t>
  </si>
  <si>
    <t>0x00:空闲
0x01:烧录中
0x02:烧录结束</t>
  </si>
  <si>
    <t>本包设备类型</t>
  </si>
  <si>
    <t>BIT0:PCS
BIT1:EMS
BIT2:BMS
BIT3:COM</t>
  </si>
  <si>
    <t>可烧录类型</t>
  </si>
  <si>
    <t>机型</t>
  </si>
  <si>
    <t>0x00:NULL
0x01:3K
0x02:5K
0x03:6K
0x04:11K</t>
  </si>
  <si>
    <t>软件类型</t>
  </si>
  <si>
    <t>0x00:ERROR
0x01:APP
0x02:BOOT</t>
  </si>
  <si>
    <t>擦除时间</t>
  </si>
  <si>
    <t>单位ms</t>
  </si>
  <si>
    <t>版本号_H</t>
  </si>
  <si>
    <t>版本号_L</t>
  </si>
  <si>
    <t>Footprint_A</t>
  </si>
  <si>
    <t>Footprint_B</t>
  </si>
  <si>
    <t>Footprint_C</t>
  </si>
  <si>
    <t>Footprint_D</t>
  </si>
  <si>
    <t>烧录包长度_H</t>
  </si>
  <si>
    <t>烧录包长度_L</t>
  </si>
  <si>
    <t>4100</t>
  </si>
  <si>
    <t>用户设定</t>
  </si>
  <si>
    <t>注意：此设置字段单次设置只能设置一个参数
上位机需要保障下设的数据范围准确性，否则系统功能可能会出现异常
两次设置间隔时间应大于500ms
默认显示-1/65535 为设置成功或不处于设置状态的标记；写入成功后回读如果为-1/65535即设置成功</t>
  </si>
  <si>
    <t>0:208V
1:220V
2:230V
3:240V</t>
  </si>
  <si>
    <t>输出频率</t>
  </si>
  <si>
    <t>0:50Hz
1:60Hz</t>
  </si>
  <si>
    <t>0:APP
1:UPS</t>
  </si>
  <si>
    <t>0:PNG
1:OPV
2:PVF</t>
  </si>
  <si>
    <t>市电充电电流</t>
  </si>
  <si>
    <t>1A</t>
  </si>
  <si>
    <t>2-120A连续可调
【VMH6KU仅支持
0x02:2A
0x0A:10A
0x14:20A
0x1E:30A
0x28:40A
0x32:50A
0x3C:60A
0x46:70A
0x50:80A
0x5A:90A
0x64:100A
0x6E:110A
0x78:120A】</t>
  </si>
  <si>
    <t>0:2A
1:10A
2:20A
3:30A
4:40A
5:50A
6:60A
7:70A
8:80A
9:90A
10:100A
11:110A
12:120A</t>
  </si>
  <si>
    <t>0:铅酸电池
1:注水电池
2:三元锂电池
3:磷酸铁锂电池
4:用户自定义电池</t>
  </si>
  <si>
    <t>电池低压点</t>
  </si>
  <si>
    <t>铅酸/注水 : 44V 不可调节
三元锂/铁锂 : 41.2V-50V
自定义 : 42V - 54V</t>
  </si>
  <si>
    <t>电池欠压点
（电池关机点）</t>
  </si>
  <si>
    <t>铅酸/注水 : 42V 不可调节
三元锂/铁锂/自定义 : 40V-48V</t>
  </si>
  <si>
    <t>恒压点</t>
  </si>
  <si>
    <t>铅酸 : 56.4V 不可调节
注水 : 58V 不可调节
三元锂/铁锂/自定义 : 48V-60V</t>
  </si>
  <si>
    <t>浮充点</t>
  </si>
  <si>
    <t>铅酸/注水 : 54V 不可调节
三元锂/铁锂 : 50V- 58VV
自定义 : 48V- 60V</t>
  </si>
  <si>
    <t>电池转市电 电压点</t>
  </si>
  <si>
    <t>铅酸/注水 : 44V - 52V
三元锂/铁锂/自定义 : 40V-50V</t>
  </si>
  <si>
    <t>返回电池模式 电压点</t>
  </si>
  <si>
    <t>铅酸/注水 : 48V - 58V
三元锂/铁锂/自定义 : 46V-58V</t>
  </si>
  <si>
    <t>市电低压点</t>
  </si>
  <si>
    <t>1V</t>
  </si>
  <si>
    <t>APP : 90V-154V
UPS : 170V-200V</t>
  </si>
  <si>
    <t>市电高压点</t>
  </si>
  <si>
    <t>APP : 264V-280V
UPS : 264V</t>
  </si>
  <si>
    <t>0:单机模式
1:单相并机模式
2:三相并机 A相
3:三相并机 B相
4:三相并机 C相</t>
  </si>
  <si>
    <t>并机序列号</t>
  </si>
  <si>
    <t>0-14</t>
  </si>
  <si>
    <t>开启均衡模式充电</t>
  </si>
  <si>
    <t>0:OFF
1:ON</t>
  </si>
  <si>
    <t>均衡电压点</t>
  </si>
  <si>
    <t>48V-60V</t>
  </si>
  <si>
    <t>1min</t>
  </si>
  <si>
    <t>5-900 步长5</t>
  </si>
  <si>
    <t>均衡延时时间</t>
  </si>
  <si>
    <t>均衡间隔时间</t>
  </si>
  <si>
    <t>day</t>
  </si>
  <si>
    <t>1-90</t>
  </si>
  <si>
    <t>立即开启均衡</t>
  </si>
  <si>
    <t>双路输出截止电压</t>
  </si>
  <si>
    <t>440-600：44V-60V</t>
  </si>
  <si>
    <t>双路输出时间</t>
  </si>
  <si>
    <t>5-900：5min-900min
0xFFF1：关闭双路输出
0xFFF2：双路输出不限时间</t>
  </si>
  <si>
    <t>发电机使能</t>
  </si>
  <si>
    <t>发电机额定功率</t>
  </si>
  <si>
    <t>0.1KW</t>
  </si>
  <si>
    <t>0-65:0-6.5KW</t>
  </si>
  <si>
    <t>发电机最大功率</t>
  </si>
  <si>
    <t>发电机告警消除</t>
  </si>
  <si>
    <t>BMS 协议选择</t>
  </si>
  <si>
    <t>0:关闭BMS功能
1:CVTE协议
2:古瑞瓦特协议
3.日月元协议
4.派能协议
5.铁塔协议
6.沛城协议</t>
  </si>
  <si>
    <t>BMS ID选择</t>
  </si>
  <si>
    <t>0-15
0xFFF1：ID自搜索</t>
  </si>
  <si>
    <t>低SOC关机 SOC设置</t>
  </si>
  <si>
    <t>5-50
0xFFF1：失能低SOC关机功能</t>
  </si>
  <si>
    <t>转电池 SOC设置</t>
  </si>
  <si>
    <t>10-90
0xFFF1：失能SOC转电池功能</t>
  </si>
  <si>
    <t>转市电 SOC设置</t>
  </si>
  <si>
    <t>10-100
0xFFF1：失能SOC转市电功能</t>
  </si>
  <si>
    <t>远程开关机使能</t>
  </si>
  <si>
    <t>0:关闭远程控制
1:开启远程控制 且 开机
2:开启远程控制 且 关机</t>
  </si>
  <si>
    <t>关闭充电</t>
  </si>
  <si>
    <t>自行熄灭背光</t>
  </si>
  <si>
    <t>过温重启</t>
  </si>
  <si>
    <t>过载重启</t>
  </si>
  <si>
    <t>过载转旁路</t>
  </si>
  <si>
    <t>低功耗省电</t>
  </si>
  <si>
    <t>市电频率自动检测</t>
  </si>
  <si>
    <t>输出继电器闭合后再逆变软起</t>
  </si>
  <si>
    <t>电池开路警告</t>
  </si>
  <si>
    <t>馈网功能使能</t>
  </si>
  <si>
    <t>0:OFF
1:INT内部采样并网
2:CT外部电流互感器采样并网
3:MET外部电表通信并网</t>
  </si>
  <si>
    <t>馈网功率</t>
  </si>
  <si>
    <t>蜂鸣器静音</t>
  </si>
  <si>
    <t>默认返回主界面设置</t>
  </si>
  <si>
    <t>主输入发生改变警告</t>
  </si>
  <si>
    <t>恢复默认设置</t>
  </si>
  <si>
    <t>秒设置</t>
  </si>
  <si>
    <t>1sec</t>
  </si>
  <si>
    <t>0-59</t>
  </si>
  <si>
    <t>1hour</t>
  </si>
  <si>
    <t>0-23</t>
  </si>
  <si>
    <t>0-31</t>
  </si>
  <si>
    <t>0-12</t>
  </si>
  <si>
    <t>0-99</t>
  </si>
  <si>
    <t>保电1</t>
  </si>
  <si>
    <t>H</t>
  </si>
  <si>
    <t>卖电1</t>
  </si>
  <si>
    <t>保电2</t>
  </si>
  <si>
    <t>卖电2</t>
  </si>
  <si>
    <t>开机</t>
  </si>
  <si>
    <t>关机</t>
  </si>
  <si>
    <t>机型配置</t>
  </si>
  <si>
    <t>0:自动识别（下次上电后生效）
1:低配机型
2:中配机型
3:高配机型</t>
  </si>
  <si>
    <t>屏幕类型</t>
  </si>
  <si>
    <t>0：TRB8131
1：B00346
2: CNKD0601/CNKD0602</t>
  </si>
  <si>
    <t>A</t>
  </si>
  <si>
    <t>0-30:10-160A（步长为5A）
0xFFF1：OFF
【VMH5KU/VMH6KU、VML1K2生效，VMH5KU可支持至160A，VMH6KU可支持至140A、VML1K2可支持至120A】</t>
  </si>
  <si>
    <t>Wifi连接状态</t>
  </si>
  <si>
    <t>用于Wifi模块下设
1:wifi未连接到热点
2:Wifi正在连接热点中
3:Wifi己连接热点
4:Wifi已连接到云服务器
0xFF:禁用该标志</t>
  </si>
  <si>
    <t>自动切换馈网功率时间1</t>
  </si>
  <si>
    <t>自动切换馈网功率时间2</t>
  </si>
  <si>
    <r>
      <rPr>
        <sz val="10.5"/>
        <rFont val="宋体"/>
        <charset val="134"/>
      </rPr>
      <t>自动切换馈网功率</t>
    </r>
    <r>
      <rPr>
        <sz val="10.5"/>
        <rFont val="Times New Roman"/>
        <charset val="134"/>
      </rPr>
      <t>1</t>
    </r>
  </si>
  <si>
    <t>自动切换馈网功率2</t>
  </si>
  <si>
    <t>关机前把风扇速度设为 100 标志位</t>
  </si>
  <si>
    <t>0：正常工作
1：关机前把风扇速度设为 100，应对耗电比较小的风扇在我们板卡上关机时关不下去的问题
【仅VML1K2生效】</t>
  </si>
  <si>
    <t>设置输出功率小于50W时逆变电流的参考值</t>
  </si>
  <si>
    <t>默认值为26，设置范围为0-200
【VMH5KU/VMH6KU生效】</t>
  </si>
  <si>
    <t>414A</t>
  </si>
  <si>
    <t>设置按键反向</t>
  </si>
  <si>
    <t>0：下键为页面数字增加
1：下键为页面数字减小
【VMH5KU/VMH6KU生效】</t>
  </si>
  <si>
    <t>414B</t>
  </si>
  <si>
    <t>设置双输出截止SOC</t>
  </si>
  <si>
    <t>5-90：双输出截止SOC
0xFFF1：禁用该功能
【VMH5KU/VMH6KU生效】</t>
  </si>
  <si>
    <t>414C</t>
  </si>
  <si>
    <t>禁止掉电</t>
  </si>
  <si>
    <t>0：无效
1：禁止掉点
下设后即使机器处于可掉电状态，也不会转入关机模式。每次下设1min后禁止掉电标志位复位，每次下设时复位计数器。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</si>
</sst>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0.5"/>
      <name val="宋体"/>
      <charset val="134"/>
    </font>
    <font>
      <sz val="11"/>
      <name val="宋体"/>
      <charset val="134"/>
      <scheme val="minor"/>
    </font>
    <font>
      <sz val="12"/>
      <color theme="1"/>
      <name val="宋体"/>
      <charset val="134"/>
      <scheme val="minor"/>
    </font>
    <font>
      <i/>
      <sz val="10.5"/>
      <name val="宋体"/>
      <charset val="134"/>
    </font>
    <font>
      <sz val="10"/>
      <color theme="1"/>
      <name val="宋体"/>
      <charset val="134"/>
      <scheme val="minor"/>
    </font>
    <font>
      <sz val="10"/>
      <name val="宋体"/>
      <charset val="134"/>
    </font>
    <font>
      <sz val="10"/>
      <name val="Times New Roman"/>
      <charset val="134"/>
    </font>
    <font>
      <sz val="10"/>
      <color rgb="FF172B4D"/>
      <name val="等线"/>
      <charset val="134"/>
    </font>
    <font>
      <sz val="10"/>
      <color rgb="FF0052CC"/>
      <name val="等线"/>
      <charset val="134"/>
    </font>
    <font>
      <sz val="10"/>
      <name val="宋体"/>
      <charset val="134"/>
      <scheme val="minor"/>
    </font>
    <font>
      <sz val="10"/>
      <name val="等线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.5"/>
      <name val="Times New Roman"/>
      <charset val="134"/>
    </font>
    <font>
      <i/>
      <sz val="10.5"/>
      <name val="Consolas"/>
      <charset val="134"/>
    </font>
  </fonts>
  <fills count="44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000000"/>
      </left>
      <right style="dotted">
        <color auto="1"/>
      </right>
      <top style="medium">
        <color rgb="FF000000"/>
      </top>
      <bottom style="medium">
        <color rgb="FF000000"/>
      </bottom>
      <diagonal/>
    </border>
    <border>
      <left/>
      <right style="dotted">
        <color auto="1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14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8" borderId="11" applyNumberFormat="0" applyFont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24" fillId="22" borderId="14" applyNumberFormat="0" applyAlignment="0" applyProtection="0">
      <alignment vertical="center"/>
    </xf>
    <xf numFmtId="0" fontId="25" fillId="22" borderId="10" applyNumberFormat="0" applyAlignment="0" applyProtection="0">
      <alignment vertical="center"/>
    </xf>
    <xf numFmtId="0" fontId="26" fillId="23" borderId="15" applyNumberForma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27" fillId="0" borderId="16" applyNumberFormat="0" applyFill="0" applyAlignment="0" applyProtection="0">
      <alignment vertical="center"/>
    </xf>
    <xf numFmtId="0" fontId="28" fillId="0" borderId="17" applyNumberFormat="0" applyFill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5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5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5" fillId="40" borderId="0" applyNumberFormat="0" applyBorder="0" applyAlignment="0" applyProtection="0">
      <alignment vertical="center"/>
    </xf>
    <xf numFmtId="0" fontId="15" fillId="41" borderId="0" applyNumberFormat="0" applyBorder="0" applyAlignment="0" applyProtection="0">
      <alignment vertical="center"/>
    </xf>
    <xf numFmtId="0" fontId="12" fillId="42" borderId="0" applyNumberFormat="0" applyBorder="0" applyAlignment="0" applyProtection="0">
      <alignment vertical="center"/>
    </xf>
    <xf numFmtId="0" fontId="15" fillId="43" borderId="0" applyNumberFormat="0" applyBorder="0" applyAlignment="0" applyProtection="0">
      <alignment vertical="center"/>
    </xf>
  </cellStyleXfs>
  <cellXfs count="128">
    <xf numFmtId="0" fontId="0" fillId="0" borderId="0" xfId="0">
      <alignment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49" fontId="0" fillId="0" borderId="0" xfId="0" applyNumberFormat="1" applyFill="1">
      <alignment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Border="1" applyAlignment="1">
      <alignment horizontal="left" vertical="center"/>
    </xf>
    <xf numFmtId="0" fontId="0" fillId="0" borderId="0" xfId="0" applyFill="1" applyBorder="1" applyAlignment="1">
      <alignment horizontal="left" vertical="center"/>
    </xf>
    <xf numFmtId="9" fontId="0" fillId="0" borderId="0" xfId="0" applyNumberFormat="1" applyFill="1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left" vertical="center" wrapText="1"/>
    </xf>
    <xf numFmtId="49" fontId="0" fillId="0" borderId="0" xfId="0" applyNumberFormat="1" applyFill="1" applyBorder="1" applyAlignment="1">
      <alignment horizontal="left" vertical="center" wrapText="1"/>
    </xf>
    <xf numFmtId="49" fontId="0" fillId="0" borderId="0" xfId="0" applyNumberFormat="1" applyFill="1" applyBorder="1" applyAlignment="1">
      <alignment vertical="center" wrapText="1"/>
    </xf>
    <xf numFmtId="0" fontId="0" fillId="0" borderId="0" xfId="0" applyFill="1" applyBorder="1" applyAlignment="1">
      <alignment horizontal="left" vertical="center" wrapText="1"/>
    </xf>
    <xf numFmtId="0" fontId="0" fillId="0" borderId="0" xfId="0" applyFill="1" applyBorder="1">
      <alignment vertical="center"/>
    </xf>
    <xf numFmtId="0" fontId="0" fillId="0" borderId="0" xfId="0" applyFill="1" applyBorder="1" applyAlignment="1">
      <alignment vertical="center" wrapText="1"/>
    </xf>
    <xf numFmtId="49" fontId="0" fillId="0" borderId="0" xfId="0" applyNumberFormat="1" applyFill="1" applyBorder="1" applyAlignment="1">
      <alignment vertical="center" wrapText="1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Alignment="1">
      <alignment horizontal="justify" vertical="center"/>
    </xf>
    <xf numFmtId="0" fontId="0" fillId="0" borderId="0" xfId="0" applyFill="1" applyAlignment="1">
      <alignment horizontal="left" vertical="center" wrapText="1"/>
    </xf>
    <xf numFmtId="0" fontId="0" fillId="0" borderId="0" xfId="0" applyFill="1" applyAlignment="1">
      <alignment horizontal="left" vertical="center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 vertical="center" wrapText="1"/>
    </xf>
    <xf numFmtId="49" fontId="2" fillId="0" borderId="0" xfId="0" applyNumberFormat="1" applyFont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wrapText="1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  <xf numFmtId="49" fontId="0" fillId="0" borderId="0" xfId="0" applyNumberFormat="1" applyFill="1" applyBorder="1">
      <alignment vertical="center"/>
    </xf>
    <xf numFmtId="49" fontId="0" fillId="3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3" borderId="1" xfId="0" applyNumberFormat="1" applyFill="1" applyBorder="1" applyAlignment="1">
      <alignment vertical="center"/>
    </xf>
    <xf numFmtId="49" fontId="0" fillId="0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0" xfId="0" applyNumberFormat="1" applyFont="1">
      <alignment vertical="center"/>
    </xf>
    <xf numFmtId="0" fontId="3" fillId="0" borderId="0" xfId="0" applyFont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Fill="1">
      <alignment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Fill="1" applyAlignment="1">
      <alignment horizontal="left" vertical="center" wrapText="1"/>
    </xf>
    <xf numFmtId="49" fontId="0" fillId="0" borderId="0" xfId="0" applyNumberFormat="1" applyFill="1" applyAlignment="1">
      <alignment horizontal="left" vertical="center" wrapText="1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0" fillId="4" borderId="0" xfId="0" applyFill="1">
      <alignment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left" vertical="center"/>
    </xf>
    <xf numFmtId="49" fontId="0" fillId="4" borderId="0" xfId="0" applyNumberFormat="1" applyFill="1" applyAlignment="1">
      <alignment horizontal="center" vertical="center"/>
    </xf>
    <xf numFmtId="49" fontId="2" fillId="0" borderId="0" xfId="0" applyNumberFormat="1" applyFont="1" applyFill="1" applyAlignment="1">
      <alignment horizontal="left" vertical="center" wrapText="1"/>
    </xf>
    <xf numFmtId="49" fontId="2" fillId="0" borderId="0" xfId="0" applyNumberFormat="1" applyFont="1" applyFill="1" applyAlignment="1">
      <alignment horizontal="left" vertical="center"/>
    </xf>
    <xf numFmtId="49" fontId="0" fillId="4" borderId="0" xfId="0" applyNumberFormat="1" applyFill="1" applyAlignment="1">
      <alignment horizontal="left" vertical="center" wrapText="1"/>
    </xf>
    <xf numFmtId="0" fontId="0" fillId="4" borderId="0" xfId="0" applyFill="1" applyAlignment="1">
      <alignment vertical="center" wrapText="1"/>
    </xf>
    <xf numFmtId="49" fontId="0" fillId="0" borderId="0" xfId="0" applyNumberFormat="1" applyFill="1" applyAlignment="1">
      <alignment horizontal="left" vertical="center"/>
    </xf>
    <xf numFmtId="0" fontId="2" fillId="0" borderId="0" xfId="0" applyFont="1" applyFill="1" applyAlignment="1">
      <alignment vertical="center" wrapText="1"/>
    </xf>
    <xf numFmtId="49" fontId="0" fillId="0" borderId="0" xfId="0" applyNumberFormat="1" applyFill="1" applyAlignment="1">
      <alignment horizontal="left" vertical="center" wrapText="1"/>
    </xf>
    <xf numFmtId="49" fontId="5" fillId="0" borderId="0" xfId="0" applyNumberFormat="1" applyFont="1" applyAlignment="1">
      <alignment horizontal="center" vertical="center"/>
    </xf>
    <xf numFmtId="49" fontId="6" fillId="5" borderId="2" xfId="0" applyNumberFormat="1" applyFont="1" applyFill="1" applyBorder="1" applyAlignment="1">
      <alignment horizontal="center" vertical="center" wrapText="1"/>
    </xf>
    <xf numFmtId="49" fontId="7" fillId="5" borderId="3" xfId="0" applyNumberFormat="1" applyFont="1" applyFill="1" applyBorder="1" applyAlignment="1">
      <alignment horizontal="center" vertical="center" wrapText="1"/>
    </xf>
    <xf numFmtId="49" fontId="6" fillId="6" borderId="4" xfId="0" applyNumberFormat="1" applyFont="1" applyFill="1" applyBorder="1" applyAlignment="1">
      <alignment horizontal="center" vertical="center" wrapText="1"/>
    </xf>
    <xf numFmtId="49" fontId="6" fillId="6" borderId="5" xfId="0" applyNumberFormat="1" applyFont="1" applyFill="1" applyBorder="1" applyAlignment="1">
      <alignment horizontal="center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49" fontId="7" fillId="6" borderId="6" xfId="0" applyNumberFormat="1" applyFont="1" applyFill="1" applyBorder="1" applyAlignment="1">
      <alignment horizontal="center" vertical="center" wrapText="1"/>
    </xf>
    <xf numFmtId="49" fontId="6" fillId="7" borderId="7" xfId="0" applyNumberFormat="1" applyFont="1" applyFill="1" applyBorder="1" applyAlignment="1">
      <alignment horizontal="center" vertical="center" wrapText="1"/>
    </xf>
    <xf numFmtId="49" fontId="6" fillId="7" borderId="8" xfId="0" applyNumberFormat="1" applyFont="1" applyFill="1" applyBorder="1" applyAlignment="1">
      <alignment horizontal="center" vertical="center" wrapText="1"/>
    </xf>
    <xf numFmtId="49" fontId="6" fillId="7" borderId="9" xfId="0" applyNumberFormat="1" applyFont="1" applyFill="1" applyBorder="1" applyAlignment="1">
      <alignment horizontal="center" vertical="center" wrapText="1"/>
    </xf>
    <xf numFmtId="49" fontId="7" fillId="3" borderId="4" xfId="0" applyNumberFormat="1" applyFont="1" applyFill="1" applyBorder="1" applyAlignment="1">
      <alignment horizontal="center" vertical="center" wrapText="1"/>
    </xf>
    <xf numFmtId="49" fontId="6" fillId="3" borderId="4" xfId="0" applyNumberFormat="1" applyFont="1" applyFill="1" applyBorder="1" applyAlignment="1">
      <alignment horizontal="center" vertical="center" wrapText="1"/>
    </xf>
    <xf numFmtId="49" fontId="8" fillId="8" borderId="1" xfId="0" applyNumberFormat="1" applyFont="1" applyFill="1" applyBorder="1" applyAlignment="1">
      <alignment horizontal="center" vertical="center" wrapText="1"/>
    </xf>
    <xf numFmtId="0" fontId="8" fillId="9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horizontal="left" vertical="top" wrapText="1"/>
    </xf>
    <xf numFmtId="0" fontId="9" fillId="9" borderId="1" xfId="0" applyFont="1" applyFill="1" applyBorder="1" applyAlignment="1">
      <alignment horizontal="center" vertical="top" wrapText="1"/>
    </xf>
    <xf numFmtId="49" fontId="10" fillId="10" borderId="1" xfId="0" applyNumberFormat="1" applyFont="1" applyFill="1" applyBorder="1" applyAlignment="1">
      <alignment horizontal="center" vertical="center"/>
    </xf>
    <xf numFmtId="49" fontId="6" fillId="10" borderId="1" xfId="0" applyNumberFormat="1" applyFont="1" applyFill="1" applyBorder="1" applyAlignment="1">
      <alignment horizontal="center" vertical="center" wrapText="1"/>
    </xf>
    <xf numFmtId="49" fontId="7" fillId="10" borderId="1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 wrapText="1"/>
    </xf>
    <xf numFmtId="49" fontId="11" fillId="2" borderId="1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49" fontId="10" fillId="0" borderId="0" xfId="0" applyNumberFormat="1" applyFont="1" applyAlignment="1">
      <alignment vertical="center"/>
    </xf>
    <xf numFmtId="49" fontId="10" fillId="11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6" fillId="11" borderId="1" xfId="0" applyNumberFormat="1" applyFont="1" applyFill="1" applyBorder="1" applyAlignment="1">
      <alignment horizontal="center" vertical="center" wrapText="1"/>
    </xf>
    <xf numFmtId="49" fontId="7" fillId="11" borderId="1" xfId="0" applyNumberFormat="1" applyFont="1" applyFill="1" applyBorder="1" applyAlignment="1">
      <alignment horizontal="center" vertical="center" wrapText="1"/>
    </xf>
    <xf numFmtId="49" fontId="10" fillId="12" borderId="1" xfId="0" applyNumberFormat="1" applyFont="1" applyFill="1" applyBorder="1" applyAlignment="1">
      <alignment horizontal="center" vertical="center"/>
    </xf>
    <xf numFmtId="49" fontId="6" fillId="12" borderId="1" xfId="0" applyNumberFormat="1" applyFont="1" applyFill="1" applyBorder="1" applyAlignment="1">
      <alignment horizontal="center" vertical="center" wrapText="1"/>
    </xf>
    <xf numFmtId="49" fontId="11" fillId="12" borderId="1" xfId="0" applyNumberFormat="1" applyFont="1" applyFill="1" applyBorder="1" applyAlignment="1">
      <alignment horizontal="center" vertical="center" wrapText="1"/>
    </xf>
    <xf numFmtId="49" fontId="10" fillId="12" borderId="1" xfId="0" applyNumberFormat="1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left" vertical="center"/>
    </xf>
    <xf numFmtId="0" fontId="0" fillId="0" borderId="1" xfId="0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 wrapText="1"/>
    </xf>
    <xf numFmtId="14" fontId="0" fillId="0" borderId="1" xfId="0" applyNumberFormat="1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schemas.openxmlformats.org/officeDocument/2006/relationships/sharedStrings" Target="sharedStrings.xml"/><Relationship Id="rId25" Type="http://schemas.openxmlformats.org/officeDocument/2006/relationships/styles" Target="styles.xml"/><Relationship Id="rId24" Type="http://schemas.openxmlformats.org/officeDocument/2006/relationships/theme" Target="theme/theme1.xml"/><Relationship Id="rId23" Type="http://schemas.openxmlformats.org/officeDocument/2006/relationships/externalLink" Target="externalLinks/externalLink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User\AppData\Roaming\Foxmail7\Temp-35920-20250206190828\Attach\CVTE-INV-Modbus&#22320;&#22336;&#34920;&#65288;&#22806;&#21457;&#65289;V1.1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版本信息"/>
      <sheetName val="通讯格式"/>
      <sheetName val="WF_Version"/>
      <sheetName val="WF_Simplify"/>
      <sheetName val="WF_WorkMode"/>
      <sheetName val="WF_BAT"/>
      <sheetName val="WF_BMS"/>
      <sheetName val="WF_LINE"/>
      <sheetName val="WF_OP"/>
      <sheetName val="WF_PV"/>
      <sheetName val="WF_INV"/>
      <sheetName val="WF_FAN"/>
      <sheetName val="WF_NTC"/>
      <sheetName val="WF_FunctionSwitch"/>
      <sheetName val="WF_Time"/>
      <sheetName val="WF_PARA"/>
      <sheetName val="WF_Admin"/>
      <sheetName val="WF_FCT"/>
      <sheetName val="WF_Calibration"/>
      <sheetName val="WF_Generator"/>
      <sheetName val="WF_OTA"/>
      <sheetName val="WF_UserS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2">
          <cell r="B2">
            <v>16640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22"/>
  <sheetViews>
    <sheetView zoomScale="130" zoomScaleNormal="130" topLeftCell="A18" workbookViewId="0">
      <selection activeCell="D18" sqref="D18"/>
    </sheetView>
  </sheetViews>
  <sheetFormatPr defaultColWidth="14.4454545454545" defaultRowHeight="14" outlineLevelCol="3"/>
  <cols>
    <col min="1" max="3" width="14.4454545454545" style="39" customWidth="1"/>
    <col min="4" max="4" width="31.6909090909091" style="39" customWidth="1"/>
    <col min="5" max="16384" width="14.4454545454545" style="39" customWidth="1"/>
  </cols>
  <sheetData>
    <row r="1" spans="1:4">
      <c r="A1" s="119" t="s">
        <v>0</v>
      </c>
      <c r="B1" s="119" t="s">
        <v>1</v>
      </c>
      <c r="C1" s="119" t="s">
        <v>2</v>
      </c>
      <c r="D1" s="119" t="s">
        <v>3</v>
      </c>
    </row>
    <row r="2" spans="1:4">
      <c r="A2" s="119" t="s">
        <v>4</v>
      </c>
      <c r="B2" s="119" t="s">
        <v>5</v>
      </c>
      <c r="C2" s="120">
        <v>45181</v>
      </c>
      <c r="D2" s="119" t="s">
        <v>6</v>
      </c>
    </row>
    <row r="3" spans="1:4">
      <c r="A3" s="119" t="s">
        <v>7</v>
      </c>
      <c r="B3" s="119" t="s">
        <v>5</v>
      </c>
      <c r="C3" s="120">
        <v>45233</v>
      </c>
      <c r="D3" s="119" t="s">
        <v>8</v>
      </c>
    </row>
    <row r="4" spans="1:4">
      <c r="A4" s="119" t="s">
        <v>9</v>
      </c>
      <c r="B4" s="119" t="s">
        <v>5</v>
      </c>
      <c r="C4" s="120">
        <v>45236</v>
      </c>
      <c r="D4" s="119" t="s">
        <v>10</v>
      </c>
    </row>
    <row r="5" spans="1:4">
      <c r="A5" s="119" t="s">
        <v>11</v>
      </c>
      <c r="B5" s="119" t="s">
        <v>12</v>
      </c>
      <c r="C5" s="120">
        <v>45260</v>
      </c>
      <c r="D5" s="119" t="s">
        <v>13</v>
      </c>
    </row>
    <row r="6" ht="129" customHeight="1" spans="1:4">
      <c r="A6" s="119" t="s">
        <v>14</v>
      </c>
      <c r="B6" s="119" t="s">
        <v>5</v>
      </c>
      <c r="C6" s="120">
        <v>45270</v>
      </c>
      <c r="D6" s="121" t="s">
        <v>15</v>
      </c>
    </row>
    <row r="7" ht="28" spans="1:4">
      <c r="A7" s="119" t="s">
        <v>16</v>
      </c>
      <c r="B7" s="119" t="s">
        <v>5</v>
      </c>
      <c r="C7" s="120">
        <v>45275</v>
      </c>
      <c r="D7" s="121" t="s">
        <v>17</v>
      </c>
    </row>
    <row r="8" ht="70" spans="1:4">
      <c r="A8" s="119" t="s">
        <v>18</v>
      </c>
      <c r="B8" s="119" t="s">
        <v>5</v>
      </c>
      <c r="C8" s="120">
        <v>45434</v>
      </c>
      <c r="D8" s="121" t="s">
        <v>19</v>
      </c>
    </row>
    <row r="9" ht="126" spans="1:4">
      <c r="A9" s="119" t="s">
        <v>20</v>
      </c>
      <c r="B9" s="119" t="s">
        <v>5</v>
      </c>
      <c r="C9" s="120">
        <v>45449</v>
      </c>
      <c r="D9" s="121" t="s">
        <v>21</v>
      </c>
    </row>
    <row r="10" ht="28" spans="1:4">
      <c r="A10" s="119" t="s">
        <v>22</v>
      </c>
      <c r="B10" s="119" t="s">
        <v>5</v>
      </c>
      <c r="C10" s="120">
        <v>45455</v>
      </c>
      <c r="D10" s="121" t="s">
        <v>23</v>
      </c>
    </row>
    <row r="11" ht="234" customHeight="1" spans="1:4">
      <c r="A11" s="122" t="s">
        <v>24</v>
      </c>
      <c r="B11" s="122" t="s">
        <v>5</v>
      </c>
      <c r="C11" s="123">
        <v>45476</v>
      </c>
      <c r="D11" s="124" t="s">
        <v>25</v>
      </c>
    </row>
    <row r="12" ht="126" spans="1:4">
      <c r="A12" s="122" t="s">
        <v>26</v>
      </c>
      <c r="B12" s="122" t="s">
        <v>5</v>
      </c>
      <c r="C12" s="123">
        <v>45515</v>
      </c>
      <c r="D12" s="124" t="s">
        <v>27</v>
      </c>
    </row>
    <row r="13" ht="56" spans="1:4">
      <c r="A13" s="122" t="s">
        <v>28</v>
      </c>
      <c r="B13" s="122" t="s">
        <v>5</v>
      </c>
      <c r="C13" s="123">
        <v>45531</v>
      </c>
      <c r="D13" s="124" t="s">
        <v>29</v>
      </c>
    </row>
    <row r="14" ht="28" spans="1:4">
      <c r="A14" s="122" t="s">
        <v>30</v>
      </c>
      <c r="B14" s="122" t="s">
        <v>5</v>
      </c>
      <c r="C14" s="123">
        <v>45531</v>
      </c>
      <c r="D14" s="124" t="s">
        <v>31</v>
      </c>
    </row>
    <row r="15" ht="56" spans="1:4">
      <c r="A15" s="119" t="s">
        <v>32</v>
      </c>
      <c r="B15" s="119" t="s">
        <v>33</v>
      </c>
      <c r="C15" s="120">
        <v>45594</v>
      </c>
      <c r="D15" s="121" t="s">
        <v>34</v>
      </c>
    </row>
    <row r="16" ht="28" spans="1:4">
      <c r="A16" s="122" t="s">
        <v>35</v>
      </c>
      <c r="B16" s="122" t="s">
        <v>36</v>
      </c>
      <c r="C16" s="123">
        <v>45595</v>
      </c>
      <c r="D16" s="124" t="s">
        <v>37</v>
      </c>
    </row>
    <row r="17" spans="1:4">
      <c r="A17" s="122" t="s">
        <v>38</v>
      </c>
      <c r="B17" s="122" t="s">
        <v>12</v>
      </c>
      <c r="C17" s="123">
        <v>45622</v>
      </c>
      <c r="D17" s="124" t="s">
        <v>39</v>
      </c>
    </row>
    <row r="18" s="3" customFormat="1" ht="224" spans="1:4">
      <c r="A18" s="122" t="s">
        <v>40</v>
      </c>
      <c r="B18" s="124" t="s">
        <v>41</v>
      </c>
      <c r="C18" s="123">
        <v>45665</v>
      </c>
      <c r="D18" s="124" t="s">
        <v>42</v>
      </c>
    </row>
    <row r="19" s="3" customFormat="1" ht="70" spans="1:4">
      <c r="A19" s="122" t="s">
        <v>43</v>
      </c>
      <c r="B19" s="124" t="s">
        <v>12</v>
      </c>
      <c r="C19" s="123">
        <v>45670</v>
      </c>
      <c r="D19" s="124" t="s">
        <v>44</v>
      </c>
    </row>
    <row r="20" s="29" customFormat="1" ht="42" spans="1:4">
      <c r="A20" s="125" t="s">
        <v>45</v>
      </c>
      <c r="B20" s="126" t="s">
        <v>46</v>
      </c>
      <c r="C20" s="127">
        <v>45694</v>
      </c>
      <c r="D20" s="126" t="s">
        <v>47</v>
      </c>
    </row>
    <row r="21" s="4" customFormat="1" spans="1:4">
      <c r="A21" s="125" t="s">
        <v>48</v>
      </c>
      <c r="B21" s="126" t="s">
        <v>33</v>
      </c>
      <c r="C21" s="127">
        <v>45706</v>
      </c>
      <c r="D21" s="126" t="s">
        <v>49</v>
      </c>
    </row>
    <row r="22" s="118" customFormat="1" ht="56" spans="1:4">
      <c r="A22" s="125" t="s">
        <v>50</v>
      </c>
      <c r="B22" s="126" t="s">
        <v>12</v>
      </c>
      <c r="C22" s="127">
        <v>45708</v>
      </c>
      <c r="D22" s="126" t="s">
        <v>51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V51"/>
  <sheetViews>
    <sheetView zoomScale="190" zoomScaleNormal="190" workbookViewId="0">
      <selection activeCell="E26" sqref="E26"/>
    </sheetView>
  </sheetViews>
  <sheetFormatPr defaultColWidth="8.28181818181818" defaultRowHeight="13"/>
  <cols>
    <col min="1" max="16384" width="8.28181818181818" style="83" customWidth="1"/>
  </cols>
  <sheetData>
    <row r="1" ht="17" customHeight="1" spans="1:9">
      <c r="A1" s="84" t="s">
        <v>52</v>
      </c>
      <c r="B1" s="85">
        <v>1</v>
      </c>
      <c r="C1" s="85">
        <v>1</v>
      </c>
      <c r="D1" s="85">
        <v>2</v>
      </c>
      <c r="E1" s="85"/>
      <c r="F1" s="85">
        <v>2</v>
      </c>
      <c r="G1" s="85"/>
      <c r="H1" s="85">
        <v>2</v>
      </c>
      <c r="I1" s="85"/>
    </row>
    <row r="2" ht="28" customHeight="1" spans="1:9">
      <c r="A2" s="86" t="s">
        <v>53</v>
      </c>
      <c r="B2" s="86" t="s">
        <v>54</v>
      </c>
      <c r="C2" s="86" t="s">
        <v>55</v>
      </c>
      <c r="D2" s="87" t="s">
        <v>56</v>
      </c>
      <c r="E2" s="87" t="s">
        <v>56</v>
      </c>
      <c r="F2" s="86" t="s">
        <v>57</v>
      </c>
      <c r="G2" s="88" t="s">
        <v>58</v>
      </c>
      <c r="H2" s="89" t="s">
        <v>59</v>
      </c>
      <c r="I2" s="89" t="s">
        <v>59</v>
      </c>
    </row>
    <row r="3" ht="16.25" customHeight="1" spans="1:9">
      <c r="A3" s="86"/>
      <c r="B3" s="86"/>
      <c r="C3" s="86"/>
      <c r="D3" s="86" t="s">
        <v>60</v>
      </c>
      <c r="E3" s="86" t="s">
        <v>61</v>
      </c>
      <c r="F3" s="86"/>
      <c r="G3" s="88"/>
      <c r="H3" s="86" t="s">
        <v>61</v>
      </c>
      <c r="I3" s="86" t="s">
        <v>60</v>
      </c>
    </row>
    <row r="4" ht="13.75"/>
    <row r="5" ht="13.75" spans="1:3">
      <c r="A5" s="90" t="s">
        <v>62</v>
      </c>
      <c r="B5" s="91" t="s">
        <v>55</v>
      </c>
      <c r="C5" s="92" t="s">
        <v>63</v>
      </c>
    </row>
    <row r="6" ht="13.75" spans="1:3">
      <c r="A6" s="93">
        <v>1</v>
      </c>
      <c r="B6" s="93" t="s">
        <v>64</v>
      </c>
      <c r="C6" s="94" t="s">
        <v>65</v>
      </c>
    </row>
    <row r="7" ht="13.75" spans="1:3">
      <c r="A7" s="93">
        <v>2</v>
      </c>
      <c r="B7" s="93" t="s">
        <v>66</v>
      </c>
      <c r="C7" s="94" t="s">
        <v>67</v>
      </c>
    </row>
    <row r="9" spans="1:5">
      <c r="A9" s="95" t="s">
        <v>68</v>
      </c>
      <c r="B9" s="95" t="s">
        <v>69</v>
      </c>
      <c r="C9" s="95"/>
      <c r="D9" s="95"/>
      <c r="E9" s="95"/>
    </row>
    <row r="10" spans="1:5">
      <c r="A10" s="96">
        <v>1</v>
      </c>
      <c r="B10" s="97" t="s">
        <v>70</v>
      </c>
      <c r="C10" s="97"/>
      <c r="D10" s="97"/>
      <c r="E10" s="97"/>
    </row>
    <row r="11" spans="1:5">
      <c r="A11" s="96">
        <v>2</v>
      </c>
      <c r="B11" s="97" t="s">
        <v>71</v>
      </c>
      <c r="C11" s="97"/>
      <c r="D11" s="97"/>
      <c r="E11" s="97"/>
    </row>
    <row r="12" spans="1:5">
      <c r="A12" s="96">
        <v>3</v>
      </c>
      <c r="B12" s="97" t="s">
        <v>72</v>
      </c>
      <c r="C12" s="97"/>
      <c r="D12" s="97"/>
      <c r="E12" s="97"/>
    </row>
    <row r="13" spans="1:5">
      <c r="A13" s="98">
        <v>4</v>
      </c>
      <c r="B13" s="97" t="s">
        <v>73</v>
      </c>
      <c r="C13" s="97"/>
      <c r="D13" s="97"/>
      <c r="E13" s="97"/>
    </row>
    <row r="15" spans="1:22">
      <c r="A15" s="99" t="s">
        <v>74</v>
      </c>
      <c r="B15" s="99"/>
      <c r="C15" s="99"/>
      <c r="D15" s="99"/>
      <c r="E15" s="99"/>
      <c r="F15" s="99"/>
      <c r="G15" s="99"/>
      <c r="H15" s="99"/>
      <c r="I15" s="99"/>
      <c r="J15" s="108"/>
      <c r="K15" s="109" t="s">
        <v>75</v>
      </c>
      <c r="L15" s="109"/>
      <c r="M15" s="109"/>
      <c r="N15" s="109"/>
      <c r="O15" s="109"/>
      <c r="P15" s="109"/>
      <c r="Q15" s="109"/>
      <c r="R15" s="109"/>
      <c r="S15" s="109"/>
      <c r="T15" s="109"/>
      <c r="U15" s="109"/>
      <c r="V15" s="109"/>
    </row>
    <row r="16" spans="1:22">
      <c r="A16" s="100" t="s">
        <v>52</v>
      </c>
      <c r="B16" s="101">
        <v>1</v>
      </c>
      <c r="C16" s="101">
        <v>1</v>
      </c>
      <c r="D16" s="101">
        <v>2</v>
      </c>
      <c r="E16" s="101"/>
      <c r="F16" s="101">
        <v>2</v>
      </c>
      <c r="G16" s="101"/>
      <c r="H16" s="101">
        <v>2</v>
      </c>
      <c r="I16" s="101"/>
      <c r="J16" s="110"/>
      <c r="K16" s="111" t="s">
        <v>52</v>
      </c>
      <c r="L16" s="112">
        <v>1</v>
      </c>
      <c r="M16" s="112">
        <v>1</v>
      </c>
      <c r="N16" s="112">
        <v>2</v>
      </c>
      <c r="O16" s="112"/>
      <c r="P16" s="112">
        <v>2</v>
      </c>
      <c r="Q16" s="112"/>
      <c r="R16" s="112" t="s">
        <v>76</v>
      </c>
      <c r="S16" s="112" t="s">
        <v>77</v>
      </c>
      <c r="T16" s="112"/>
      <c r="U16" s="112">
        <v>2</v>
      </c>
      <c r="V16" s="112"/>
    </row>
    <row r="17" spans="1:22">
      <c r="A17" s="102" t="s">
        <v>53</v>
      </c>
      <c r="B17" s="103" t="s">
        <v>54</v>
      </c>
      <c r="C17" s="103" t="s">
        <v>55</v>
      </c>
      <c r="D17" s="103" t="s">
        <v>56</v>
      </c>
      <c r="E17" s="103"/>
      <c r="F17" s="103" t="s">
        <v>78</v>
      </c>
      <c r="G17" s="103"/>
      <c r="H17" s="104" t="s">
        <v>79</v>
      </c>
      <c r="I17" s="104"/>
      <c r="J17" s="110"/>
      <c r="K17" s="113" t="s">
        <v>53</v>
      </c>
      <c r="L17" s="114" t="s">
        <v>54</v>
      </c>
      <c r="M17" s="114" t="s">
        <v>55</v>
      </c>
      <c r="N17" s="114" t="s">
        <v>56</v>
      </c>
      <c r="O17" s="114"/>
      <c r="P17" s="114" t="s">
        <v>78</v>
      </c>
      <c r="Q17" s="114"/>
      <c r="R17" s="113" t="s">
        <v>52</v>
      </c>
      <c r="S17" s="116" t="s">
        <v>80</v>
      </c>
      <c r="T17" s="113"/>
      <c r="U17" s="115" t="s">
        <v>79</v>
      </c>
      <c r="V17" s="115"/>
    </row>
    <row r="18" spans="1:22">
      <c r="A18" s="102"/>
      <c r="B18" s="103"/>
      <c r="C18" s="103"/>
      <c r="D18" s="104" t="s">
        <v>81</v>
      </c>
      <c r="E18" s="104" t="s">
        <v>82</v>
      </c>
      <c r="F18" s="104" t="s">
        <v>81</v>
      </c>
      <c r="G18" s="104" t="s">
        <v>82</v>
      </c>
      <c r="H18" s="104" t="s">
        <v>83</v>
      </c>
      <c r="I18" s="104" t="s">
        <v>84</v>
      </c>
      <c r="J18" s="110"/>
      <c r="K18" s="113"/>
      <c r="L18" s="114"/>
      <c r="M18" s="114"/>
      <c r="N18" s="115" t="s">
        <v>81</v>
      </c>
      <c r="O18" s="115" t="s">
        <v>82</v>
      </c>
      <c r="P18" s="115" t="s">
        <v>81</v>
      </c>
      <c r="Q18" s="115" t="s">
        <v>82</v>
      </c>
      <c r="R18" s="113"/>
      <c r="S18" s="115" t="s">
        <v>81</v>
      </c>
      <c r="T18" s="115" t="s">
        <v>82</v>
      </c>
      <c r="U18" s="115" t="s">
        <v>83</v>
      </c>
      <c r="V18" s="115" t="s">
        <v>84</v>
      </c>
    </row>
    <row r="19" spans="1:22">
      <c r="A19" s="102" t="s">
        <v>85</v>
      </c>
      <c r="B19" s="102" t="s">
        <v>86</v>
      </c>
      <c r="C19" s="102" t="s">
        <v>87</v>
      </c>
      <c r="D19" s="102" t="s">
        <v>88</v>
      </c>
      <c r="E19" s="102" t="s">
        <v>88</v>
      </c>
      <c r="F19" s="105" t="s">
        <v>89</v>
      </c>
      <c r="G19" s="102"/>
      <c r="H19" s="102" t="s">
        <v>90</v>
      </c>
      <c r="I19" s="102"/>
      <c r="J19" s="110"/>
      <c r="K19" s="113" t="s">
        <v>85</v>
      </c>
      <c r="L19" s="113" t="s">
        <v>86</v>
      </c>
      <c r="M19" s="113" t="s">
        <v>91</v>
      </c>
      <c r="N19" s="113" t="s">
        <v>88</v>
      </c>
      <c r="O19" s="113" t="s">
        <v>88</v>
      </c>
      <c r="P19" s="116" t="s">
        <v>89</v>
      </c>
      <c r="Q19" s="113"/>
      <c r="R19" s="113" t="s">
        <v>77</v>
      </c>
      <c r="S19" s="113" t="s">
        <v>88</v>
      </c>
      <c r="T19" s="113" t="s">
        <v>88</v>
      </c>
      <c r="U19" s="113" t="s">
        <v>90</v>
      </c>
      <c r="V19" s="113"/>
    </row>
    <row r="20" spans="1:22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</row>
    <row r="21" spans="1:22">
      <c r="A21" s="99" t="s">
        <v>92</v>
      </c>
      <c r="B21" s="99"/>
      <c r="C21" s="99"/>
      <c r="D21" s="99"/>
      <c r="E21" s="99"/>
      <c r="F21" s="99"/>
      <c r="G21" s="99"/>
      <c r="H21" s="99"/>
      <c r="I21" s="108"/>
      <c r="J21" s="106"/>
      <c r="K21" s="109" t="s">
        <v>93</v>
      </c>
      <c r="L21" s="109"/>
      <c r="M21" s="109"/>
      <c r="N21" s="109"/>
      <c r="O21" s="109"/>
      <c r="P21" s="109"/>
      <c r="Q21" s="109"/>
      <c r="R21" s="109"/>
      <c r="S21" s="109"/>
      <c r="T21" s="106"/>
      <c r="U21" s="106"/>
      <c r="V21" s="106"/>
    </row>
    <row r="22" spans="1:22">
      <c r="A22" s="100" t="s">
        <v>52</v>
      </c>
      <c r="B22" s="101">
        <v>1</v>
      </c>
      <c r="C22" s="101">
        <v>1</v>
      </c>
      <c r="D22" s="101" t="s">
        <v>76</v>
      </c>
      <c r="E22" s="101" t="s">
        <v>77</v>
      </c>
      <c r="F22" s="101"/>
      <c r="G22" s="101">
        <v>2</v>
      </c>
      <c r="H22" s="101"/>
      <c r="I22" s="106"/>
      <c r="J22" s="106"/>
      <c r="K22" s="111" t="s">
        <v>52</v>
      </c>
      <c r="L22" s="112">
        <v>1</v>
      </c>
      <c r="M22" s="112">
        <v>1</v>
      </c>
      <c r="N22" s="112">
        <v>2</v>
      </c>
      <c r="O22" s="112"/>
      <c r="P22" s="112" t="s">
        <v>94</v>
      </c>
      <c r="Q22" s="112"/>
      <c r="R22" s="112">
        <v>2</v>
      </c>
      <c r="S22" s="112"/>
      <c r="T22" s="106"/>
      <c r="U22" s="106"/>
      <c r="V22" s="106"/>
    </row>
    <row r="23" spans="1:22">
      <c r="A23" s="102" t="s">
        <v>53</v>
      </c>
      <c r="B23" s="104" t="s">
        <v>54</v>
      </c>
      <c r="C23" s="104" t="s">
        <v>55</v>
      </c>
      <c r="D23" s="104" t="s">
        <v>95</v>
      </c>
      <c r="E23" s="104" t="s">
        <v>80</v>
      </c>
      <c r="F23" s="104"/>
      <c r="G23" s="104" t="s">
        <v>79</v>
      </c>
      <c r="H23" s="104"/>
      <c r="I23" s="106"/>
      <c r="J23" s="106"/>
      <c r="K23" s="113" t="s">
        <v>53</v>
      </c>
      <c r="L23" s="115" t="s">
        <v>54</v>
      </c>
      <c r="M23" s="115" t="s">
        <v>55</v>
      </c>
      <c r="N23" s="115" t="s">
        <v>56</v>
      </c>
      <c r="O23" s="115"/>
      <c r="P23" s="114" t="s">
        <v>78</v>
      </c>
      <c r="Q23" s="114"/>
      <c r="R23" s="115" t="s">
        <v>79</v>
      </c>
      <c r="S23" s="115"/>
      <c r="T23" s="106"/>
      <c r="U23" s="106"/>
      <c r="V23" s="106"/>
    </row>
    <row r="24" spans="1:22">
      <c r="A24" s="102"/>
      <c r="B24" s="104"/>
      <c r="C24" s="104"/>
      <c r="D24" s="104"/>
      <c r="E24" s="104" t="s">
        <v>81</v>
      </c>
      <c r="F24" s="104" t="s">
        <v>82</v>
      </c>
      <c r="G24" s="104" t="s">
        <v>83</v>
      </c>
      <c r="H24" s="104" t="s">
        <v>84</v>
      </c>
      <c r="I24" s="106"/>
      <c r="J24" s="106"/>
      <c r="K24" s="113"/>
      <c r="L24" s="115"/>
      <c r="M24" s="115"/>
      <c r="N24" s="115" t="s">
        <v>81</v>
      </c>
      <c r="O24" s="115" t="s">
        <v>82</v>
      </c>
      <c r="P24" s="115" t="s">
        <v>81</v>
      </c>
      <c r="Q24" s="115" t="s">
        <v>82</v>
      </c>
      <c r="R24" s="115" t="s">
        <v>83</v>
      </c>
      <c r="S24" s="115" t="s">
        <v>84</v>
      </c>
      <c r="T24" s="106"/>
      <c r="U24" s="106"/>
      <c r="V24" s="106"/>
    </row>
    <row r="25" spans="1:22">
      <c r="A25" s="102" t="s">
        <v>85</v>
      </c>
      <c r="B25" s="104" t="s">
        <v>86</v>
      </c>
      <c r="C25" s="104" t="s">
        <v>87</v>
      </c>
      <c r="D25" s="104" t="s">
        <v>77</v>
      </c>
      <c r="E25" s="104" t="s">
        <v>89</v>
      </c>
      <c r="F25" s="104"/>
      <c r="G25" s="104" t="s">
        <v>90</v>
      </c>
      <c r="H25" s="104"/>
      <c r="I25" s="106"/>
      <c r="J25" s="106"/>
      <c r="K25" s="113" t="s">
        <v>85</v>
      </c>
      <c r="L25" s="115" t="s">
        <v>86</v>
      </c>
      <c r="M25" s="115" t="s">
        <v>91</v>
      </c>
      <c r="N25" s="115" t="s">
        <v>88</v>
      </c>
      <c r="O25" s="115" t="s">
        <v>88</v>
      </c>
      <c r="P25" s="116" t="s">
        <v>89</v>
      </c>
      <c r="Q25" s="113"/>
      <c r="R25" s="115" t="s">
        <v>90</v>
      </c>
      <c r="S25" s="115"/>
      <c r="T25" s="106"/>
      <c r="U25" s="106"/>
      <c r="V25" s="106"/>
    </row>
    <row r="26" spans="1:22">
      <c r="A26" s="106"/>
      <c r="B26" s="106"/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</row>
    <row r="27" spans="1:22">
      <c r="A27" s="99" t="s">
        <v>96</v>
      </c>
      <c r="B27" s="99"/>
      <c r="C27" s="99"/>
      <c r="D27" s="99"/>
      <c r="E27" s="99"/>
      <c r="F27" s="99"/>
      <c r="G27" s="106"/>
      <c r="H27" s="106"/>
      <c r="I27" s="106"/>
      <c r="J27" s="106"/>
      <c r="K27" s="109" t="s">
        <v>96</v>
      </c>
      <c r="L27" s="109"/>
      <c r="M27" s="109"/>
      <c r="N27" s="109"/>
      <c r="O27" s="109"/>
      <c r="P27" s="109"/>
      <c r="Q27" s="106"/>
      <c r="R27" s="106"/>
      <c r="S27" s="106"/>
      <c r="T27" s="106"/>
      <c r="U27" s="106"/>
      <c r="V27" s="106"/>
    </row>
    <row r="28" spans="1:22">
      <c r="A28" s="100" t="s">
        <v>52</v>
      </c>
      <c r="B28" s="100">
        <v>1</v>
      </c>
      <c r="C28" s="100" t="s">
        <v>76</v>
      </c>
      <c r="D28" s="100" t="s">
        <v>76</v>
      </c>
      <c r="E28" s="100" t="s">
        <v>94</v>
      </c>
      <c r="F28" s="100"/>
      <c r="G28" s="106"/>
      <c r="H28" s="106"/>
      <c r="I28" s="106"/>
      <c r="J28" s="106"/>
      <c r="K28" s="111" t="s">
        <v>52</v>
      </c>
      <c r="L28" s="111">
        <v>1</v>
      </c>
      <c r="M28" s="111" t="s">
        <v>76</v>
      </c>
      <c r="N28" s="111" t="s">
        <v>76</v>
      </c>
      <c r="O28" s="111" t="s">
        <v>94</v>
      </c>
      <c r="P28" s="111"/>
      <c r="Q28" s="106"/>
      <c r="R28" s="106"/>
      <c r="S28" s="106"/>
      <c r="T28" s="106"/>
      <c r="U28" s="106"/>
      <c r="V28" s="106"/>
    </row>
    <row r="29" spans="1:22">
      <c r="A29" s="102" t="s">
        <v>53</v>
      </c>
      <c r="B29" s="104" t="s">
        <v>54</v>
      </c>
      <c r="C29" s="107" t="s">
        <v>55</v>
      </c>
      <c r="D29" s="107" t="s">
        <v>68</v>
      </c>
      <c r="E29" s="107" t="s">
        <v>79</v>
      </c>
      <c r="F29" s="107"/>
      <c r="G29" s="106"/>
      <c r="H29" s="106"/>
      <c r="I29" s="106"/>
      <c r="J29" s="106"/>
      <c r="K29" s="113" t="s">
        <v>53</v>
      </c>
      <c r="L29" s="115" t="s">
        <v>54</v>
      </c>
      <c r="M29" s="117" t="s">
        <v>55</v>
      </c>
      <c r="N29" s="117" t="s">
        <v>68</v>
      </c>
      <c r="O29" s="117" t="s">
        <v>79</v>
      </c>
      <c r="P29" s="117"/>
      <c r="Q29" s="106"/>
      <c r="R29" s="106"/>
      <c r="S29" s="106"/>
      <c r="T29" s="106"/>
      <c r="U29" s="106"/>
      <c r="V29" s="106"/>
    </row>
    <row r="30" spans="1:22">
      <c r="A30" s="102"/>
      <c r="B30" s="104"/>
      <c r="C30" s="107"/>
      <c r="D30" s="107"/>
      <c r="E30" s="107" t="s">
        <v>83</v>
      </c>
      <c r="F30" s="107" t="s">
        <v>84</v>
      </c>
      <c r="G30" s="106"/>
      <c r="H30" s="106"/>
      <c r="I30" s="106"/>
      <c r="J30" s="106"/>
      <c r="K30" s="113"/>
      <c r="L30" s="115"/>
      <c r="M30" s="117"/>
      <c r="N30" s="117"/>
      <c r="O30" s="117" t="s">
        <v>83</v>
      </c>
      <c r="P30" s="117" t="s">
        <v>84</v>
      </c>
      <c r="Q30" s="106"/>
      <c r="R30" s="106"/>
      <c r="S30" s="106"/>
      <c r="T30" s="106"/>
      <c r="U30" s="106"/>
      <c r="V30" s="106"/>
    </row>
    <row r="31" spans="1:22">
      <c r="A31" s="102" t="s">
        <v>85</v>
      </c>
      <c r="B31" s="102" t="s">
        <v>86</v>
      </c>
      <c r="C31" s="102" t="s">
        <v>97</v>
      </c>
      <c r="D31" s="107" t="s">
        <v>88</v>
      </c>
      <c r="E31" s="102"/>
      <c r="F31" s="102"/>
      <c r="G31" s="106"/>
      <c r="H31" s="106"/>
      <c r="I31" s="106"/>
      <c r="J31" s="106"/>
      <c r="K31" s="113" t="s">
        <v>85</v>
      </c>
      <c r="L31" s="113" t="s">
        <v>86</v>
      </c>
      <c r="M31" s="113" t="s">
        <v>98</v>
      </c>
      <c r="N31" s="113" t="s">
        <v>88</v>
      </c>
      <c r="O31" s="113" t="s">
        <v>90</v>
      </c>
      <c r="P31" s="113"/>
      <c r="Q31" s="106"/>
      <c r="R31" s="106"/>
      <c r="S31" s="106"/>
      <c r="T31" s="106"/>
      <c r="U31" s="106"/>
      <c r="V31" s="106"/>
    </row>
    <row r="51" spans="1:12">
      <c r="A51" s="106"/>
      <c r="B51" s="106"/>
      <c r="C51" s="106"/>
      <c r="D51" s="106"/>
      <c r="E51" s="106"/>
      <c r="F51" s="106"/>
      <c r="G51" s="106"/>
      <c r="H51" s="106"/>
      <c r="I51" s="106"/>
      <c r="J51" s="106"/>
      <c r="K51" s="106"/>
      <c r="L51" s="106"/>
    </row>
  </sheetData>
  <mergeCells count="78">
    <mergeCell ref="D1:E1"/>
    <mergeCell ref="F1:G1"/>
    <mergeCell ref="H1:I1"/>
    <mergeCell ref="B9:E9"/>
    <mergeCell ref="B10:E10"/>
    <mergeCell ref="B11:E11"/>
    <mergeCell ref="B12:E12"/>
    <mergeCell ref="B13:E13"/>
    <mergeCell ref="A15:I15"/>
    <mergeCell ref="K15:V15"/>
    <mergeCell ref="D16:E16"/>
    <mergeCell ref="F16:G16"/>
    <mergeCell ref="H16:I16"/>
    <mergeCell ref="N16:O16"/>
    <mergeCell ref="P16:Q16"/>
    <mergeCell ref="S16:T16"/>
    <mergeCell ref="U16:V16"/>
    <mergeCell ref="D17:E17"/>
    <mergeCell ref="F17:G17"/>
    <mergeCell ref="H17:I17"/>
    <mergeCell ref="N17:O17"/>
    <mergeCell ref="P17:Q17"/>
    <mergeCell ref="S17:T17"/>
    <mergeCell ref="U17:V17"/>
    <mergeCell ref="F19:G19"/>
    <mergeCell ref="H19:I19"/>
    <mergeCell ref="P19:Q19"/>
    <mergeCell ref="U19:V19"/>
    <mergeCell ref="A21:H21"/>
    <mergeCell ref="K21:S21"/>
    <mergeCell ref="E22:F22"/>
    <mergeCell ref="G22:H22"/>
    <mergeCell ref="N22:O22"/>
    <mergeCell ref="P22:Q22"/>
    <mergeCell ref="R22:S22"/>
    <mergeCell ref="E23:F23"/>
    <mergeCell ref="G23:H23"/>
    <mergeCell ref="N23:O23"/>
    <mergeCell ref="P23:Q23"/>
    <mergeCell ref="R23:S23"/>
    <mergeCell ref="E25:F25"/>
    <mergeCell ref="G25:H25"/>
    <mergeCell ref="P25:Q25"/>
    <mergeCell ref="R25:S25"/>
    <mergeCell ref="A27:F27"/>
    <mergeCell ref="K27:P27"/>
    <mergeCell ref="E28:F28"/>
    <mergeCell ref="O28:P28"/>
    <mergeCell ref="E29:F29"/>
    <mergeCell ref="O29:P29"/>
    <mergeCell ref="O31:P31"/>
    <mergeCell ref="A2:A3"/>
    <mergeCell ref="A17:A18"/>
    <mergeCell ref="A23:A24"/>
    <mergeCell ref="A29:A30"/>
    <mergeCell ref="B2:B3"/>
    <mergeCell ref="B17:B18"/>
    <mergeCell ref="B23:B24"/>
    <mergeCell ref="B29:B30"/>
    <mergeCell ref="C2:C3"/>
    <mergeCell ref="C17:C18"/>
    <mergeCell ref="C23:C24"/>
    <mergeCell ref="C29:C30"/>
    <mergeCell ref="D23:D24"/>
    <mergeCell ref="D29:D30"/>
    <mergeCell ref="F2:F3"/>
    <mergeCell ref="G2:G3"/>
    <mergeCell ref="K17:K18"/>
    <mergeCell ref="K23:K24"/>
    <mergeCell ref="K29:K30"/>
    <mergeCell ref="L17:L18"/>
    <mergeCell ref="L23:L24"/>
    <mergeCell ref="L29:L30"/>
    <mergeCell ref="M17:M18"/>
    <mergeCell ref="M23:M24"/>
    <mergeCell ref="M29:M30"/>
    <mergeCell ref="N29:N30"/>
    <mergeCell ref="R17:R1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1"/>
  <dimension ref="A1:K66"/>
  <sheetViews>
    <sheetView zoomScale="115" zoomScaleNormal="115" topLeftCell="A47" workbookViewId="0">
      <selection activeCell="F56" sqref="F56"/>
    </sheetView>
  </sheetViews>
  <sheetFormatPr defaultColWidth="8.73636363636364" defaultRowHeight="14"/>
  <cols>
    <col min="1" max="1" width="5.55454545454545" customWidth="1"/>
    <col min="2" max="2" width="14" customWidth="1"/>
    <col min="3" max="3" width="5.55454545454545" customWidth="1"/>
    <col min="4" max="4" width="7.75454545454545" customWidth="1"/>
    <col min="5" max="5" width="17" customWidth="1"/>
    <col min="6" max="7" width="20.8181818181818" customWidth="1"/>
    <col min="8" max="8" width="14.0909090909091" customWidth="1"/>
    <col min="9" max="9" width="25.5636363636364" customWidth="1"/>
    <col min="10" max="10" width="7.55454545454545" customWidth="1"/>
  </cols>
  <sheetData>
    <row r="1" spans="1:11">
      <c r="A1" s="33" t="s">
        <v>99</v>
      </c>
      <c r="B1" s="33" t="s">
        <v>100</v>
      </c>
      <c r="C1" s="33" t="s">
        <v>101</v>
      </c>
      <c r="D1" s="33" t="s">
        <v>102</v>
      </c>
      <c r="E1" s="33" t="s">
        <v>103</v>
      </c>
      <c r="F1" s="33" t="s">
        <v>104</v>
      </c>
      <c r="G1" s="33" t="s">
        <v>105</v>
      </c>
      <c r="H1" s="33" t="s">
        <v>106</v>
      </c>
      <c r="I1" s="33" t="s">
        <v>107</v>
      </c>
      <c r="J1" s="33" t="s">
        <v>108</v>
      </c>
      <c r="K1" s="33" t="s">
        <v>109</v>
      </c>
    </row>
    <row r="2" spans="1:10">
      <c r="A2" s="33"/>
      <c r="B2" s="33">
        <f>HEX2DEC(C2)</f>
        <v>0</v>
      </c>
      <c r="C2" s="33" t="s">
        <v>110</v>
      </c>
      <c r="D2" s="33"/>
      <c r="E2" s="33"/>
      <c r="F2" s="33" t="s">
        <v>111</v>
      </c>
      <c r="G2" s="33"/>
      <c r="H2" s="36"/>
      <c r="I2" s="36"/>
      <c r="J2" s="33"/>
    </row>
    <row r="3" spans="1:10">
      <c r="A3" s="33" t="s">
        <v>76</v>
      </c>
      <c r="B3" s="34">
        <f>$B$2+A3-1</f>
        <v>0</v>
      </c>
      <c r="C3" s="34" t="str">
        <f t="shared" ref="C3:C34" si="0">DEC2HEX(B3,4)</f>
        <v>0000</v>
      </c>
      <c r="D3" s="33"/>
      <c r="E3" s="33" t="s">
        <v>112</v>
      </c>
      <c r="F3" s="33" t="s">
        <v>113</v>
      </c>
      <c r="G3" s="33" t="s">
        <v>114</v>
      </c>
      <c r="H3" s="35"/>
      <c r="I3" s="35"/>
      <c r="J3" s="33"/>
    </row>
    <row r="4" spans="1:10">
      <c r="A4" s="33" t="s">
        <v>94</v>
      </c>
      <c r="B4" s="34">
        <f>$B$2+A4-1</f>
        <v>1</v>
      </c>
      <c r="C4" s="34" t="str">
        <f t="shared" si="0"/>
        <v>0001</v>
      </c>
      <c r="D4" s="33"/>
      <c r="E4" s="33" t="s">
        <v>112</v>
      </c>
      <c r="F4" s="33" t="s">
        <v>113</v>
      </c>
      <c r="G4" s="33" t="s">
        <v>114</v>
      </c>
      <c r="H4" s="35"/>
      <c r="I4" s="35"/>
      <c r="J4" s="33"/>
    </row>
    <row r="5" spans="1:10">
      <c r="A5" s="33" t="s">
        <v>115</v>
      </c>
      <c r="B5" s="34">
        <f>$B$2+A5-1</f>
        <v>2</v>
      </c>
      <c r="C5" s="34" t="str">
        <f t="shared" si="0"/>
        <v>0002</v>
      </c>
      <c r="D5" s="33"/>
      <c r="E5" s="33" t="s">
        <v>112</v>
      </c>
      <c r="F5" s="33" t="s">
        <v>113</v>
      </c>
      <c r="G5" s="33" t="s">
        <v>114</v>
      </c>
      <c r="H5" s="35"/>
      <c r="I5" s="35"/>
      <c r="J5" s="33"/>
    </row>
    <row r="6" spans="1:10">
      <c r="A6" s="33" t="s">
        <v>116</v>
      </c>
      <c r="B6" s="34">
        <f>$B$2+A6-1</f>
        <v>3</v>
      </c>
      <c r="C6" s="34" t="str">
        <f t="shared" si="0"/>
        <v>0003</v>
      </c>
      <c r="D6" s="33"/>
      <c r="E6" s="33" t="s">
        <v>112</v>
      </c>
      <c r="F6" s="33" t="s">
        <v>113</v>
      </c>
      <c r="G6" s="33" t="s">
        <v>114</v>
      </c>
      <c r="H6" s="35"/>
      <c r="I6" s="35"/>
      <c r="J6" s="33"/>
    </row>
    <row r="7" spans="1:10">
      <c r="A7" s="33" t="s">
        <v>117</v>
      </c>
      <c r="B7" s="34">
        <f>$B$2+A7-1</f>
        <v>4</v>
      </c>
      <c r="C7" s="34" t="str">
        <f t="shared" si="0"/>
        <v>0004</v>
      </c>
      <c r="D7" s="33"/>
      <c r="E7" s="33" t="s">
        <v>112</v>
      </c>
      <c r="F7" s="33" t="s">
        <v>113</v>
      </c>
      <c r="G7" s="33" t="s">
        <v>114</v>
      </c>
      <c r="H7" s="35"/>
      <c r="I7" s="35"/>
      <c r="J7" s="33"/>
    </row>
    <row r="8" spans="1:10">
      <c r="A8" s="33" t="s">
        <v>118</v>
      </c>
      <c r="B8" s="34">
        <f>$B$2+A8-1</f>
        <v>5</v>
      </c>
      <c r="C8" s="34" t="str">
        <f t="shared" si="0"/>
        <v>0005</v>
      </c>
      <c r="D8" s="33"/>
      <c r="E8" s="33" t="s">
        <v>112</v>
      </c>
      <c r="F8" s="33" t="s">
        <v>113</v>
      </c>
      <c r="G8" s="33" t="s">
        <v>114</v>
      </c>
      <c r="H8" s="35"/>
      <c r="I8" s="35"/>
      <c r="J8" s="33"/>
    </row>
    <row r="9" spans="1:10">
      <c r="A9" s="33" t="s">
        <v>119</v>
      </c>
      <c r="B9" s="34">
        <f>$B$2+A9-1</f>
        <v>6</v>
      </c>
      <c r="C9" s="34" t="str">
        <f t="shared" si="0"/>
        <v>0006</v>
      </c>
      <c r="D9" s="33"/>
      <c r="E9" s="33" t="s">
        <v>112</v>
      </c>
      <c r="F9" s="33" t="s">
        <v>113</v>
      </c>
      <c r="G9" s="33" t="s">
        <v>114</v>
      </c>
      <c r="H9" s="35"/>
      <c r="I9" s="35"/>
      <c r="J9" s="33"/>
    </row>
    <row r="10" spans="1:10">
      <c r="A10" s="33" t="s">
        <v>120</v>
      </c>
      <c r="B10" s="34">
        <f>$B$2+A10-1</f>
        <v>7</v>
      </c>
      <c r="C10" s="34" t="str">
        <f t="shared" si="0"/>
        <v>0007</v>
      </c>
      <c r="D10" s="33"/>
      <c r="E10" s="33" t="s">
        <v>112</v>
      </c>
      <c r="F10" s="33" t="s">
        <v>113</v>
      </c>
      <c r="G10" s="33" t="s">
        <v>114</v>
      </c>
      <c r="H10" s="35"/>
      <c r="I10" s="35"/>
      <c r="J10" s="33"/>
    </row>
    <row r="11" spans="1:10">
      <c r="A11" s="33" t="s">
        <v>121</v>
      </c>
      <c r="B11" s="34">
        <f>$B$2+A11-1</f>
        <v>8</v>
      </c>
      <c r="C11" s="34" t="str">
        <f t="shared" si="0"/>
        <v>0008</v>
      </c>
      <c r="D11" s="33"/>
      <c r="E11" s="33" t="s">
        <v>112</v>
      </c>
      <c r="F11" s="33" t="s">
        <v>113</v>
      </c>
      <c r="G11" s="33" t="s">
        <v>114</v>
      </c>
      <c r="H11" s="35"/>
      <c r="I11" s="35"/>
      <c r="J11" s="33"/>
    </row>
    <row r="12" spans="1:10">
      <c r="A12" s="33" t="s">
        <v>91</v>
      </c>
      <c r="B12" s="34">
        <f>$B$2+A12-1</f>
        <v>9</v>
      </c>
      <c r="C12" s="34" t="str">
        <f t="shared" si="0"/>
        <v>0009</v>
      </c>
      <c r="D12" s="33"/>
      <c r="E12" s="33" t="s">
        <v>112</v>
      </c>
      <c r="F12" s="33" t="s">
        <v>113</v>
      </c>
      <c r="G12" s="33" t="s">
        <v>114</v>
      </c>
      <c r="H12" s="35"/>
      <c r="I12" s="35"/>
      <c r="J12" s="33"/>
    </row>
    <row r="13" s="17" customFormat="1" spans="1:10">
      <c r="A13" s="2" t="s">
        <v>122</v>
      </c>
      <c r="B13" s="9">
        <f>$B$2+A13-1</f>
        <v>10</v>
      </c>
      <c r="C13" s="9" t="str">
        <f t="shared" si="0"/>
        <v>000A</v>
      </c>
      <c r="D13" s="2"/>
      <c r="E13" s="2" t="s">
        <v>112</v>
      </c>
      <c r="F13" s="2" t="s">
        <v>123</v>
      </c>
      <c r="G13" s="2" t="s">
        <v>114</v>
      </c>
      <c r="H13" s="80"/>
      <c r="I13" s="80"/>
      <c r="J13" s="2"/>
    </row>
    <row r="14" s="17" customFormat="1" spans="1:10">
      <c r="A14" s="2" t="s">
        <v>124</v>
      </c>
      <c r="B14" s="9">
        <f>$B$2+A14-1</f>
        <v>11</v>
      </c>
      <c r="C14" s="9" t="str">
        <f t="shared" si="0"/>
        <v>000B</v>
      </c>
      <c r="D14" s="2"/>
      <c r="E14" s="2" t="s">
        <v>112</v>
      </c>
      <c r="F14" s="2" t="s">
        <v>123</v>
      </c>
      <c r="G14" s="2" t="s">
        <v>114</v>
      </c>
      <c r="H14" s="80"/>
      <c r="I14" s="80"/>
      <c r="J14" s="2"/>
    </row>
    <row r="15" s="17" customFormat="1" spans="1:10">
      <c r="A15" s="2" t="s">
        <v>125</v>
      </c>
      <c r="B15" s="9">
        <f>$B$2+A15-1</f>
        <v>12</v>
      </c>
      <c r="C15" s="9" t="str">
        <f t="shared" si="0"/>
        <v>000C</v>
      </c>
      <c r="D15" s="2"/>
      <c r="E15" s="2" t="s">
        <v>112</v>
      </c>
      <c r="F15" s="2" t="s">
        <v>123</v>
      </c>
      <c r="G15" s="2" t="s">
        <v>114</v>
      </c>
      <c r="H15" s="80"/>
      <c r="I15" s="80"/>
      <c r="J15" s="2"/>
    </row>
    <row r="16" s="17" customFormat="1" spans="1:10">
      <c r="A16" s="2" t="s">
        <v>126</v>
      </c>
      <c r="B16" s="9">
        <f>$B$2+A16-1</f>
        <v>13</v>
      </c>
      <c r="C16" s="9" t="str">
        <f t="shared" si="0"/>
        <v>000D</v>
      </c>
      <c r="D16" s="2"/>
      <c r="E16" s="2" t="s">
        <v>112</v>
      </c>
      <c r="F16" s="2" t="s">
        <v>123</v>
      </c>
      <c r="G16" s="2" t="s">
        <v>114</v>
      </c>
      <c r="H16" s="80"/>
      <c r="I16" s="80"/>
      <c r="J16" s="2"/>
    </row>
    <row r="17" s="17" customFormat="1" spans="1:10">
      <c r="A17" s="2" t="s">
        <v>127</v>
      </c>
      <c r="B17" s="9">
        <f>$B$2+A17-1</f>
        <v>14</v>
      </c>
      <c r="C17" s="9" t="str">
        <f t="shared" si="0"/>
        <v>000E</v>
      </c>
      <c r="D17" s="2"/>
      <c r="E17" s="2" t="s">
        <v>112</v>
      </c>
      <c r="F17" s="2" t="s">
        <v>123</v>
      </c>
      <c r="G17" s="2" t="s">
        <v>114</v>
      </c>
      <c r="H17" s="80"/>
      <c r="I17" s="80"/>
      <c r="J17" s="2"/>
    </row>
    <row r="18" s="17" customFormat="1" ht="42" spans="1:10">
      <c r="A18" s="2" t="s">
        <v>128</v>
      </c>
      <c r="B18" s="9">
        <f>$B$2+A18-1</f>
        <v>15</v>
      </c>
      <c r="C18" s="9" t="str">
        <f t="shared" si="0"/>
        <v>000F</v>
      </c>
      <c r="D18" s="2"/>
      <c r="E18" s="2" t="s">
        <v>112</v>
      </c>
      <c r="F18" s="2" t="s">
        <v>129</v>
      </c>
      <c r="G18" s="2" t="s">
        <v>114</v>
      </c>
      <c r="H18" s="80"/>
      <c r="I18" s="82" t="s">
        <v>130</v>
      </c>
      <c r="J18" s="2"/>
    </row>
    <row r="19" spans="1:10">
      <c r="A19" s="33" t="s">
        <v>131</v>
      </c>
      <c r="B19" s="34">
        <f>$B$2+A19-1</f>
        <v>16</v>
      </c>
      <c r="C19" s="34" t="str">
        <f t="shared" si="0"/>
        <v>0010</v>
      </c>
      <c r="D19" s="33"/>
      <c r="E19" s="33" t="s">
        <v>132</v>
      </c>
      <c r="F19" s="33" t="s">
        <v>133</v>
      </c>
      <c r="G19" s="33" t="s">
        <v>114</v>
      </c>
      <c r="H19" s="35"/>
      <c r="I19" s="35"/>
      <c r="J19" s="33"/>
    </row>
    <row r="20" spans="1:10">
      <c r="A20" s="33" t="s">
        <v>134</v>
      </c>
      <c r="B20" s="34">
        <f>$B$2+A20-1</f>
        <v>17</v>
      </c>
      <c r="C20" s="34" t="str">
        <f t="shared" si="0"/>
        <v>0011</v>
      </c>
      <c r="D20" s="33"/>
      <c r="E20" s="33" t="s">
        <v>132</v>
      </c>
      <c r="F20" s="33" t="s">
        <v>135</v>
      </c>
      <c r="G20" s="33" t="s">
        <v>114</v>
      </c>
      <c r="H20" s="35"/>
      <c r="I20" s="35"/>
      <c r="J20" s="33"/>
    </row>
    <row r="21" spans="1:10">
      <c r="A21" s="33" t="s">
        <v>136</v>
      </c>
      <c r="B21" s="34">
        <f>$B$2+A21-1</f>
        <v>18</v>
      </c>
      <c r="C21" s="34" t="str">
        <f t="shared" si="0"/>
        <v>0012</v>
      </c>
      <c r="D21" s="33"/>
      <c r="E21" s="33" t="s">
        <v>132</v>
      </c>
      <c r="F21" s="33" t="s">
        <v>137</v>
      </c>
      <c r="G21" s="33" t="s">
        <v>114</v>
      </c>
      <c r="H21" s="35"/>
      <c r="I21" s="35"/>
      <c r="J21" s="33"/>
    </row>
    <row r="22" spans="1:10">
      <c r="A22" s="33" t="s">
        <v>138</v>
      </c>
      <c r="B22" s="34">
        <f>$B$2+A22-1</f>
        <v>19</v>
      </c>
      <c r="C22" s="34" t="str">
        <f t="shared" si="0"/>
        <v>0013</v>
      </c>
      <c r="D22" s="33"/>
      <c r="E22" s="33" t="s">
        <v>132</v>
      </c>
      <c r="F22" s="33" t="s">
        <v>139</v>
      </c>
      <c r="G22" s="33" t="s">
        <v>114</v>
      </c>
      <c r="H22" s="35"/>
      <c r="I22" s="35"/>
      <c r="J22" s="33"/>
    </row>
    <row r="23" spans="1:10">
      <c r="A23" s="33" t="s">
        <v>140</v>
      </c>
      <c r="B23" s="34">
        <f>$B$2+A23-1</f>
        <v>20</v>
      </c>
      <c r="C23" s="34" t="str">
        <f t="shared" si="0"/>
        <v>0014</v>
      </c>
      <c r="D23" s="33"/>
      <c r="E23" s="33" t="s">
        <v>132</v>
      </c>
      <c r="F23" s="33" t="s">
        <v>141</v>
      </c>
      <c r="G23" s="33" t="s">
        <v>114</v>
      </c>
      <c r="H23" s="35"/>
      <c r="I23" s="35"/>
      <c r="J23" s="33"/>
    </row>
    <row r="24" spans="1:10">
      <c r="A24" s="33" t="s">
        <v>142</v>
      </c>
      <c r="B24" s="34">
        <f>$B$2+A24-1</f>
        <v>21</v>
      </c>
      <c r="C24" s="34" t="str">
        <f t="shared" si="0"/>
        <v>0015</v>
      </c>
      <c r="D24" s="33"/>
      <c r="E24" s="33" t="s">
        <v>132</v>
      </c>
      <c r="F24" s="33" t="s">
        <v>143</v>
      </c>
      <c r="G24" s="33" t="s">
        <v>114</v>
      </c>
      <c r="H24" s="35"/>
      <c r="I24" s="35"/>
      <c r="J24" s="33"/>
    </row>
    <row r="25" spans="1:10">
      <c r="A25" s="33" t="s">
        <v>144</v>
      </c>
      <c r="B25" s="34">
        <f>$B$2+A25-1</f>
        <v>22</v>
      </c>
      <c r="C25" s="34" t="str">
        <f t="shared" si="0"/>
        <v>0016</v>
      </c>
      <c r="D25" s="33"/>
      <c r="E25" s="33" t="s">
        <v>132</v>
      </c>
      <c r="F25" s="34" t="s">
        <v>145</v>
      </c>
      <c r="G25" s="33" t="s">
        <v>114</v>
      </c>
      <c r="H25" s="35"/>
      <c r="I25" s="35"/>
      <c r="J25" s="33"/>
    </row>
    <row r="26" spans="1:10">
      <c r="A26" s="33" t="s">
        <v>146</v>
      </c>
      <c r="B26" s="34">
        <f>$B$2+A26-1</f>
        <v>23</v>
      </c>
      <c r="C26" s="34" t="str">
        <f t="shared" si="0"/>
        <v>0017</v>
      </c>
      <c r="D26" s="33"/>
      <c r="E26" s="33" t="s">
        <v>132</v>
      </c>
      <c r="F26" s="34" t="s">
        <v>147</v>
      </c>
      <c r="G26" s="33" t="s">
        <v>114</v>
      </c>
      <c r="H26" s="35"/>
      <c r="I26" s="35"/>
      <c r="J26" s="33"/>
    </row>
    <row r="27" spans="1:10">
      <c r="A27" s="33" t="s">
        <v>148</v>
      </c>
      <c r="B27" s="34">
        <f>$B$2+A27-1</f>
        <v>24</v>
      </c>
      <c r="C27" s="34" t="str">
        <f t="shared" si="0"/>
        <v>0018</v>
      </c>
      <c r="D27" s="33"/>
      <c r="E27" s="33" t="s">
        <v>132</v>
      </c>
      <c r="F27" s="33" t="s">
        <v>149</v>
      </c>
      <c r="G27" s="33" t="s">
        <v>114</v>
      </c>
      <c r="H27" s="35"/>
      <c r="I27" s="35"/>
      <c r="J27" s="33"/>
    </row>
    <row r="28" spans="1:10">
      <c r="A28" s="33" t="s">
        <v>150</v>
      </c>
      <c r="B28" s="34">
        <f>$B$2+A28-1</f>
        <v>25</v>
      </c>
      <c r="C28" s="34" t="str">
        <f t="shared" si="0"/>
        <v>0019</v>
      </c>
      <c r="D28" s="33"/>
      <c r="E28" s="33" t="s">
        <v>132</v>
      </c>
      <c r="F28" s="33" t="s">
        <v>151</v>
      </c>
      <c r="G28" s="33" t="s">
        <v>114</v>
      </c>
      <c r="H28" s="35"/>
      <c r="I28" s="35"/>
      <c r="J28" s="33"/>
    </row>
    <row r="29" spans="1:10">
      <c r="A29" s="33" t="s">
        <v>152</v>
      </c>
      <c r="B29" s="34">
        <f>$B$2+A29-1</f>
        <v>26</v>
      </c>
      <c r="C29" s="34" t="str">
        <f t="shared" si="0"/>
        <v>001A</v>
      </c>
      <c r="D29" s="33"/>
      <c r="E29" s="33" t="s">
        <v>132</v>
      </c>
      <c r="F29" s="33" t="s">
        <v>153</v>
      </c>
      <c r="G29" s="33" t="s">
        <v>114</v>
      </c>
      <c r="H29" s="35"/>
      <c r="I29" s="35"/>
      <c r="J29" s="33"/>
    </row>
    <row r="30" spans="1:10">
      <c r="A30" s="33" t="s">
        <v>154</v>
      </c>
      <c r="B30" s="34">
        <f>$B$2+A30-1</f>
        <v>27</v>
      </c>
      <c r="C30" s="34" t="str">
        <f t="shared" si="0"/>
        <v>001B</v>
      </c>
      <c r="D30" s="33"/>
      <c r="E30" s="33" t="s">
        <v>132</v>
      </c>
      <c r="F30" s="33" t="s">
        <v>155</v>
      </c>
      <c r="G30" s="33" t="s">
        <v>114</v>
      </c>
      <c r="H30" s="35"/>
      <c r="I30" s="35"/>
      <c r="J30" s="33"/>
    </row>
    <row r="31" spans="1:10">
      <c r="A31" s="33" t="s">
        <v>156</v>
      </c>
      <c r="B31" s="34">
        <f>$B$2+A31-1</f>
        <v>28</v>
      </c>
      <c r="C31" s="34" t="str">
        <f t="shared" si="0"/>
        <v>001C</v>
      </c>
      <c r="D31" s="33"/>
      <c r="E31" s="33" t="s">
        <v>132</v>
      </c>
      <c r="F31" s="34" t="s">
        <v>157</v>
      </c>
      <c r="G31" s="33" t="s">
        <v>114</v>
      </c>
      <c r="H31" s="35"/>
      <c r="I31" s="33"/>
      <c r="J31" s="33"/>
    </row>
    <row r="32" spans="1:10">
      <c r="A32" s="33" t="s">
        <v>158</v>
      </c>
      <c r="B32" s="34">
        <f>$B$2+A32-1</f>
        <v>29</v>
      </c>
      <c r="C32" s="34" t="str">
        <f t="shared" si="0"/>
        <v>001D</v>
      </c>
      <c r="D32" s="33"/>
      <c r="E32" s="33" t="s">
        <v>132</v>
      </c>
      <c r="F32" s="34" t="s">
        <v>159</v>
      </c>
      <c r="G32" s="33" t="s">
        <v>114</v>
      </c>
      <c r="H32" s="35"/>
      <c r="I32" s="33"/>
      <c r="J32" s="33"/>
    </row>
    <row r="33" spans="1:10">
      <c r="A33" s="33" t="s">
        <v>160</v>
      </c>
      <c r="B33" s="34">
        <f>$B$2+A33-1</f>
        <v>30</v>
      </c>
      <c r="C33" s="34" t="str">
        <f t="shared" si="0"/>
        <v>001E</v>
      </c>
      <c r="D33" s="33"/>
      <c r="E33" s="33" t="s">
        <v>132</v>
      </c>
      <c r="F33" s="33" t="s">
        <v>161</v>
      </c>
      <c r="G33" s="33" t="s">
        <v>114</v>
      </c>
      <c r="H33" s="35"/>
      <c r="I33" s="35"/>
      <c r="J33" s="33"/>
    </row>
    <row r="34" spans="1:10">
      <c r="A34" s="33" t="s">
        <v>162</v>
      </c>
      <c r="B34" s="34">
        <f>$B$2+A34-1</f>
        <v>31</v>
      </c>
      <c r="C34" s="34" t="str">
        <f t="shared" si="0"/>
        <v>001F</v>
      </c>
      <c r="D34" s="33"/>
      <c r="E34" s="33" t="s">
        <v>132</v>
      </c>
      <c r="F34" s="33" t="s">
        <v>163</v>
      </c>
      <c r="G34" s="33" t="s">
        <v>114</v>
      </c>
      <c r="H34" s="35"/>
      <c r="I34" s="35"/>
      <c r="J34" s="33"/>
    </row>
    <row r="35" spans="1:7">
      <c r="A35" s="33" t="s">
        <v>164</v>
      </c>
      <c r="B35" s="34">
        <f t="shared" ref="B35:B66" si="1">$B$2+A35-1</f>
        <v>32</v>
      </c>
      <c r="C35" s="34" t="str">
        <f t="shared" ref="C35:C66" si="2">DEC2HEX(B35,4)</f>
        <v>0020</v>
      </c>
      <c r="E35" s="33" t="s">
        <v>132</v>
      </c>
      <c r="F35" s="33" t="s">
        <v>165</v>
      </c>
      <c r="G35" s="33" t="s">
        <v>114</v>
      </c>
    </row>
    <row r="36" spans="1:7">
      <c r="A36" s="33" t="s">
        <v>166</v>
      </c>
      <c r="B36" s="34">
        <f t="shared" si="1"/>
        <v>33</v>
      </c>
      <c r="C36" s="34" t="str">
        <f t="shared" si="2"/>
        <v>0021</v>
      </c>
      <c r="E36" s="33" t="s">
        <v>132</v>
      </c>
      <c r="F36" s="33" t="s">
        <v>167</v>
      </c>
      <c r="G36" s="33" t="s">
        <v>114</v>
      </c>
    </row>
    <row r="37" spans="1:7">
      <c r="A37" s="33" t="s">
        <v>168</v>
      </c>
      <c r="B37" s="34">
        <f t="shared" si="1"/>
        <v>34</v>
      </c>
      <c r="C37" s="34" t="str">
        <f t="shared" si="2"/>
        <v>0022</v>
      </c>
      <c r="E37" s="33" t="s">
        <v>132</v>
      </c>
      <c r="F37" s="34" t="s">
        <v>169</v>
      </c>
      <c r="G37" s="33" t="s">
        <v>114</v>
      </c>
    </row>
    <row r="38" spans="1:7">
      <c r="A38" s="33" t="s">
        <v>170</v>
      </c>
      <c r="B38" s="34">
        <f t="shared" si="1"/>
        <v>35</v>
      </c>
      <c r="C38" s="34" t="str">
        <f t="shared" si="2"/>
        <v>0023</v>
      </c>
      <c r="E38" s="33" t="s">
        <v>132</v>
      </c>
      <c r="F38" s="34" t="s">
        <v>171</v>
      </c>
      <c r="G38" s="33" t="s">
        <v>114</v>
      </c>
    </row>
    <row r="39" spans="1:7">
      <c r="A39" s="33" t="s">
        <v>172</v>
      </c>
      <c r="B39" s="34">
        <f t="shared" si="1"/>
        <v>36</v>
      </c>
      <c r="C39" s="34" t="str">
        <f t="shared" si="2"/>
        <v>0024</v>
      </c>
      <c r="E39" s="33" t="s">
        <v>132</v>
      </c>
      <c r="F39" s="34" t="s">
        <v>173</v>
      </c>
      <c r="G39" s="33" t="s">
        <v>114</v>
      </c>
    </row>
    <row r="40" spans="1:7">
      <c r="A40" s="33" t="s">
        <v>174</v>
      </c>
      <c r="B40" s="34">
        <f t="shared" si="1"/>
        <v>37</v>
      </c>
      <c r="C40" s="34" t="str">
        <f t="shared" si="2"/>
        <v>0025</v>
      </c>
      <c r="E40" s="33" t="s">
        <v>132</v>
      </c>
      <c r="F40" s="34" t="s">
        <v>175</v>
      </c>
      <c r="G40" s="33" t="s">
        <v>114</v>
      </c>
    </row>
    <row r="41" spans="1:3">
      <c r="A41" s="33" t="s">
        <v>176</v>
      </c>
      <c r="B41" s="34">
        <f t="shared" si="1"/>
        <v>38</v>
      </c>
      <c r="C41" s="34" t="str">
        <f t="shared" si="2"/>
        <v>0026</v>
      </c>
    </row>
    <row r="42" spans="1:3">
      <c r="A42" s="33" t="s">
        <v>177</v>
      </c>
      <c r="B42" s="34">
        <f t="shared" si="1"/>
        <v>39</v>
      </c>
      <c r="C42" s="34" t="str">
        <f t="shared" si="2"/>
        <v>0027</v>
      </c>
    </row>
    <row r="43" spans="1:3">
      <c r="A43" s="33" t="s">
        <v>178</v>
      </c>
      <c r="B43" s="34">
        <f t="shared" si="1"/>
        <v>40</v>
      </c>
      <c r="C43" s="34" t="str">
        <f t="shared" si="2"/>
        <v>0028</v>
      </c>
    </row>
    <row r="44" spans="1:3">
      <c r="A44" s="33" t="s">
        <v>179</v>
      </c>
      <c r="B44" s="34">
        <f t="shared" si="1"/>
        <v>41</v>
      </c>
      <c r="C44" s="34" t="str">
        <f t="shared" si="2"/>
        <v>0029</v>
      </c>
    </row>
    <row r="45" spans="1:9">
      <c r="A45" s="33" t="s">
        <v>180</v>
      </c>
      <c r="B45" s="34">
        <f t="shared" si="1"/>
        <v>42</v>
      </c>
      <c r="C45" s="34" t="str">
        <f t="shared" si="2"/>
        <v>002A</v>
      </c>
      <c r="E45" s="33"/>
      <c r="F45" s="11"/>
      <c r="G45" s="8"/>
      <c r="H45" s="8"/>
      <c r="I45" s="24"/>
    </row>
    <row r="46" spans="1:9">
      <c r="A46" s="33" t="s">
        <v>181</v>
      </c>
      <c r="B46" s="34">
        <f t="shared" si="1"/>
        <v>43</v>
      </c>
      <c r="C46" s="34" t="str">
        <f t="shared" si="2"/>
        <v>002B</v>
      </c>
      <c r="E46" s="33"/>
      <c r="F46" s="12"/>
      <c r="G46" s="12"/>
      <c r="H46" s="24"/>
      <c r="I46" s="24"/>
    </row>
    <row r="47" spans="1:3">
      <c r="A47" s="33" t="s">
        <v>182</v>
      </c>
      <c r="B47" s="34">
        <f t="shared" si="1"/>
        <v>44</v>
      </c>
      <c r="C47" s="34" t="str">
        <f t="shared" si="2"/>
        <v>002C</v>
      </c>
    </row>
    <row r="48" spans="1:3">
      <c r="A48" s="33" t="s">
        <v>183</v>
      </c>
      <c r="B48" s="34">
        <f t="shared" si="1"/>
        <v>45</v>
      </c>
      <c r="C48" s="34" t="str">
        <f t="shared" si="2"/>
        <v>002D</v>
      </c>
    </row>
    <row r="49" spans="1:3">
      <c r="A49" s="33" t="s">
        <v>184</v>
      </c>
      <c r="B49" s="34">
        <f t="shared" si="1"/>
        <v>46</v>
      </c>
      <c r="C49" s="34" t="str">
        <f t="shared" si="2"/>
        <v>002E</v>
      </c>
    </row>
    <row r="50" spans="1:3">
      <c r="A50" s="33" t="s">
        <v>185</v>
      </c>
      <c r="B50" s="34">
        <f t="shared" si="1"/>
        <v>47</v>
      </c>
      <c r="C50" s="34" t="str">
        <f t="shared" si="2"/>
        <v>002F</v>
      </c>
    </row>
    <row r="51" spans="1:3">
      <c r="A51" s="33" t="s">
        <v>186</v>
      </c>
      <c r="B51" s="34">
        <f t="shared" si="1"/>
        <v>48</v>
      </c>
      <c r="C51" s="34" t="str">
        <f t="shared" si="2"/>
        <v>0030</v>
      </c>
    </row>
    <row r="52" spans="1:3">
      <c r="A52" s="33" t="s">
        <v>187</v>
      </c>
      <c r="B52" s="34">
        <f t="shared" si="1"/>
        <v>49</v>
      </c>
      <c r="C52" s="34" t="str">
        <f t="shared" si="2"/>
        <v>0031</v>
      </c>
    </row>
    <row r="53" spans="1:3">
      <c r="A53" s="33" t="s">
        <v>188</v>
      </c>
      <c r="B53" s="34">
        <f t="shared" si="1"/>
        <v>50</v>
      </c>
      <c r="C53" s="34" t="str">
        <f t="shared" si="2"/>
        <v>0032</v>
      </c>
    </row>
    <row r="54" spans="1:3">
      <c r="A54" s="33" t="s">
        <v>189</v>
      </c>
      <c r="B54" s="34">
        <f t="shared" si="1"/>
        <v>51</v>
      </c>
      <c r="C54" s="34" t="str">
        <f t="shared" si="2"/>
        <v>0033</v>
      </c>
    </row>
    <row r="55" spans="1:7">
      <c r="A55" s="33" t="s">
        <v>190</v>
      </c>
      <c r="B55" s="34">
        <f t="shared" si="1"/>
        <v>52</v>
      </c>
      <c r="C55" s="34" t="str">
        <f t="shared" si="2"/>
        <v>0034</v>
      </c>
      <c r="E55" s="33"/>
      <c r="F55" s="33"/>
      <c r="G55" s="33"/>
    </row>
    <row r="56" spans="1:7">
      <c r="A56" s="33" t="s">
        <v>191</v>
      </c>
      <c r="B56" s="34">
        <f t="shared" si="1"/>
        <v>53</v>
      </c>
      <c r="C56" s="34" t="str">
        <f t="shared" si="2"/>
        <v>0035</v>
      </c>
      <c r="E56" s="33"/>
      <c r="F56" s="33"/>
      <c r="G56" s="33"/>
    </row>
    <row r="57" spans="1:3">
      <c r="A57" s="33" t="s">
        <v>192</v>
      </c>
      <c r="B57" s="34">
        <f t="shared" si="1"/>
        <v>54</v>
      </c>
      <c r="C57" s="34" t="str">
        <f t="shared" si="2"/>
        <v>0036</v>
      </c>
    </row>
    <row r="58" spans="1:3">
      <c r="A58" s="33" t="s">
        <v>193</v>
      </c>
      <c r="B58" s="34">
        <f t="shared" si="1"/>
        <v>55</v>
      </c>
      <c r="C58" s="34" t="str">
        <f t="shared" si="2"/>
        <v>0037</v>
      </c>
    </row>
    <row r="59" s="17" customFormat="1" ht="42" spans="1:9">
      <c r="A59" s="2" t="s">
        <v>194</v>
      </c>
      <c r="B59" s="9">
        <f t="shared" si="1"/>
        <v>56</v>
      </c>
      <c r="C59" s="9" t="str">
        <f t="shared" si="2"/>
        <v>0038</v>
      </c>
      <c r="E59" s="2" t="s">
        <v>132</v>
      </c>
      <c r="F59" s="9" t="s">
        <v>195</v>
      </c>
      <c r="G59" s="72" t="s">
        <v>114</v>
      </c>
      <c r="H59" s="81"/>
      <c r="I59" s="81" t="s">
        <v>196</v>
      </c>
    </row>
    <row r="60" s="17" customFormat="1" ht="56" spans="1:9">
      <c r="A60" s="2" t="s">
        <v>197</v>
      </c>
      <c r="B60" s="9">
        <f t="shared" si="1"/>
        <v>57</v>
      </c>
      <c r="C60" s="9" t="str">
        <f t="shared" si="2"/>
        <v>0039</v>
      </c>
      <c r="E60" s="2" t="s">
        <v>132</v>
      </c>
      <c r="F60" s="9" t="s">
        <v>198</v>
      </c>
      <c r="G60" s="72" t="s">
        <v>114</v>
      </c>
      <c r="H60" s="69"/>
      <c r="I60" s="81" t="s">
        <v>199</v>
      </c>
    </row>
    <row r="61" spans="1:6">
      <c r="A61" s="33" t="s">
        <v>200</v>
      </c>
      <c r="B61" s="34">
        <f t="shared" si="1"/>
        <v>58</v>
      </c>
      <c r="C61" s="34" t="str">
        <f t="shared" si="2"/>
        <v>003A</v>
      </c>
      <c r="E61" s="33" t="s">
        <v>132</v>
      </c>
      <c r="F61" s="34" t="s">
        <v>201</v>
      </c>
    </row>
    <row r="62" spans="1:6">
      <c r="A62" s="33" t="s">
        <v>202</v>
      </c>
      <c r="B62" s="34">
        <f t="shared" si="1"/>
        <v>59</v>
      </c>
      <c r="C62" s="34" t="str">
        <f t="shared" si="2"/>
        <v>003B</v>
      </c>
      <c r="E62" s="33" t="s">
        <v>132</v>
      </c>
      <c r="F62" s="34" t="s">
        <v>203</v>
      </c>
    </row>
    <row r="63" s="62" customFormat="1" spans="1:6">
      <c r="A63" s="63" t="s">
        <v>204</v>
      </c>
      <c r="B63" s="64">
        <f t="shared" si="1"/>
        <v>60</v>
      </c>
      <c r="C63" s="64" t="str">
        <f t="shared" si="2"/>
        <v>003C</v>
      </c>
      <c r="E63" s="63" t="s">
        <v>132</v>
      </c>
      <c r="F63" s="63" t="s">
        <v>205</v>
      </c>
    </row>
    <row r="64" s="62" customFormat="1" spans="1:6">
      <c r="A64" s="63" t="s">
        <v>206</v>
      </c>
      <c r="B64" s="64">
        <f t="shared" si="1"/>
        <v>61</v>
      </c>
      <c r="C64" s="64" t="str">
        <f t="shared" si="2"/>
        <v>003D</v>
      </c>
      <c r="E64" s="63" t="s">
        <v>132</v>
      </c>
      <c r="F64" s="63" t="s">
        <v>207</v>
      </c>
    </row>
    <row r="65" spans="1:7">
      <c r="A65" s="33" t="s">
        <v>208</v>
      </c>
      <c r="B65" s="34">
        <f t="shared" si="1"/>
        <v>62</v>
      </c>
      <c r="C65" s="34" t="str">
        <f t="shared" si="2"/>
        <v>003E</v>
      </c>
      <c r="E65" s="33" t="s">
        <v>132</v>
      </c>
      <c r="F65" s="33" t="s">
        <v>209</v>
      </c>
      <c r="G65" s="33"/>
    </row>
    <row r="66" spans="1:7">
      <c r="A66" s="33" t="s">
        <v>210</v>
      </c>
      <c r="B66" s="34">
        <f t="shared" si="1"/>
        <v>63</v>
      </c>
      <c r="C66" s="34" t="str">
        <f t="shared" si="2"/>
        <v>003F</v>
      </c>
      <c r="E66" s="33" t="s">
        <v>132</v>
      </c>
      <c r="F66" s="33" t="s">
        <v>211</v>
      </c>
      <c r="G66" s="33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29"/>
  <sheetViews>
    <sheetView zoomScale="115" zoomScaleNormal="115" workbookViewId="0">
      <selection activeCell="F9" sqref="F9"/>
    </sheetView>
  </sheetViews>
  <sheetFormatPr defaultColWidth="8.73636363636364" defaultRowHeight="14"/>
  <cols>
    <col min="1" max="1" width="5.55454545454545" customWidth="1"/>
    <col min="2" max="2" width="14" customWidth="1"/>
    <col min="3" max="3" width="5.55454545454545" customWidth="1"/>
    <col min="4" max="4" width="7.55454545454545" customWidth="1"/>
    <col min="5" max="5" width="5.55454545454545" customWidth="1"/>
    <col min="6" max="7" width="20.8181818181818" customWidth="1"/>
    <col min="8" max="8" width="8.18181818181818" customWidth="1"/>
    <col min="9" max="9" width="32.8363636363636" customWidth="1"/>
    <col min="10" max="10" width="7.55454545454545" customWidth="1"/>
    <col min="12" max="12" width="34.1454545454545" customWidth="1"/>
  </cols>
  <sheetData>
    <row r="1" spans="1:11">
      <c r="A1" s="33" t="s">
        <v>99</v>
      </c>
      <c r="B1" s="33" t="s">
        <v>100</v>
      </c>
      <c r="C1" s="33" t="s">
        <v>101</v>
      </c>
      <c r="D1" s="33" t="s">
        <v>102</v>
      </c>
      <c r="E1" s="33" t="s">
        <v>103</v>
      </c>
      <c r="F1" s="33" t="s">
        <v>104</v>
      </c>
      <c r="G1" s="33" t="s">
        <v>105</v>
      </c>
      <c r="H1" s="33" t="s">
        <v>106</v>
      </c>
      <c r="I1" s="33" t="s">
        <v>107</v>
      </c>
      <c r="J1" s="33" t="s">
        <v>108</v>
      </c>
      <c r="K1" s="33" t="s">
        <v>109</v>
      </c>
    </row>
    <row r="2" spans="1:10">
      <c r="A2" s="33"/>
      <c r="B2" s="33">
        <f>HEX2DEC(C2)</f>
        <v>64</v>
      </c>
      <c r="C2" s="33" t="s">
        <v>212</v>
      </c>
      <c r="D2" s="33"/>
      <c r="E2" s="33"/>
      <c r="F2" s="33" t="s">
        <v>213</v>
      </c>
      <c r="G2" s="33"/>
      <c r="H2" s="36"/>
      <c r="I2" s="36"/>
      <c r="J2" s="33"/>
    </row>
    <row r="3" s="69" customFormat="1" spans="1:12">
      <c r="A3" s="72" t="s">
        <v>76</v>
      </c>
      <c r="B3" s="73">
        <f>$B$2+A3-1</f>
        <v>64</v>
      </c>
      <c r="C3" s="73" t="str">
        <f t="shared" ref="C3:C64" si="0">DEC2HEX(B3,4)</f>
        <v>0040</v>
      </c>
      <c r="D3" s="72"/>
      <c r="E3" s="72" t="s">
        <v>132</v>
      </c>
      <c r="F3" s="72" t="s">
        <v>214</v>
      </c>
      <c r="G3" s="72" t="s">
        <v>114</v>
      </c>
      <c r="H3" s="74"/>
      <c r="I3" s="69" t="s">
        <v>215</v>
      </c>
      <c r="J3" s="72"/>
      <c r="L3" s="76"/>
    </row>
    <row r="4" s="62" customFormat="1" ht="56" spans="1:10">
      <c r="A4" s="63" t="s">
        <v>94</v>
      </c>
      <c r="B4" s="64">
        <f>$B$2+A4-1</f>
        <v>65</v>
      </c>
      <c r="C4" s="64" t="str">
        <f t="shared" si="0"/>
        <v>0041</v>
      </c>
      <c r="D4" s="63"/>
      <c r="E4" s="63" t="s">
        <v>132</v>
      </c>
      <c r="F4" s="64" t="s">
        <v>216</v>
      </c>
      <c r="G4" s="63" t="s">
        <v>114</v>
      </c>
      <c r="I4" s="67" t="s">
        <v>217</v>
      </c>
      <c r="J4" s="63"/>
    </row>
    <row r="5" spans="1:10">
      <c r="A5" s="33" t="s">
        <v>115</v>
      </c>
      <c r="B5" s="34">
        <f>$B$2+A5-1</f>
        <v>66</v>
      </c>
      <c r="C5" s="34" t="str">
        <f t="shared" si="0"/>
        <v>0042</v>
      </c>
      <c r="D5" s="33"/>
      <c r="E5" s="1" t="s">
        <v>132</v>
      </c>
      <c r="F5" s="6" t="s">
        <v>218</v>
      </c>
      <c r="G5" s="1" t="s">
        <v>114</v>
      </c>
      <c r="H5" s="5"/>
      <c r="I5" s="13"/>
      <c r="J5" s="33"/>
    </row>
    <row r="6" spans="1:10">
      <c r="A6" s="33" t="s">
        <v>116</v>
      </c>
      <c r="B6" s="34">
        <f>$B$2+A6-1</f>
        <v>67</v>
      </c>
      <c r="C6" s="34" t="str">
        <f t="shared" si="0"/>
        <v>0043</v>
      </c>
      <c r="D6" s="33"/>
      <c r="E6" s="1" t="s">
        <v>132</v>
      </c>
      <c r="F6" s="6" t="s">
        <v>219</v>
      </c>
      <c r="G6" s="1" t="s">
        <v>114</v>
      </c>
      <c r="H6" s="5"/>
      <c r="I6" s="13"/>
      <c r="J6" s="33"/>
    </row>
    <row r="7" spans="1:10">
      <c r="A7" s="33" t="s">
        <v>117</v>
      </c>
      <c r="B7" s="34">
        <f>$B$2+A7-1</f>
        <v>68</v>
      </c>
      <c r="C7" s="34" t="str">
        <f t="shared" si="0"/>
        <v>0044</v>
      </c>
      <c r="D7" s="33"/>
      <c r="E7" s="1" t="s">
        <v>132</v>
      </c>
      <c r="F7" s="1" t="s">
        <v>220</v>
      </c>
      <c r="G7" s="1" t="s">
        <v>114</v>
      </c>
      <c r="H7" s="5"/>
      <c r="I7" s="13"/>
      <c r="J7" s="33"/>
    </row>
    <row r="8" s="70" customFormat="1" spans="1:10">
      <c r="A8" s="65" t="s">
        <v>118</v>
      </c>
      <c r="B8" s="66">
        <f>$B$2+A8-1</f>
        <v>69</v>
      </c>
      <c r="C8" s="66" t="str">
        <f t="shared" si="0"/>
        <v>0045</v>
      </c>
      <c r="D8" s="65"/>
      <c r="E8" s="63" t="s">
        <v>132</v>
      </c>
      <c r="F8" s="63" t="s">
        <v>221</v>
      </c>
      <c r="G8" s="63" t="s">
        <v>114</v>
      </c>
      <c r="H8" s="62"/>
      <c r="I8" s="77"/>
      <c r="J8" s="65"/>
    </row>
    <row r="9" s="5" customFormat="1" ht="224" spans="1:10">
      <c r="A9" s="1" t="s">
        <v>119</v>
      </c>
      <c r="B9" s="6">
        <f>$B$2+A9-1</f>
        <v>70</v>
      </c>
      <c r="C9" s="6" t="str">
        <f t="shared" si="0"/>
        <v>0046</v>
      </c>
      <c r="D9" s="1"/>
      <c r="E9" s="1" t="s">
        <v>132</v>
      </c>
      <c r="F9" s="1" t="s">
        <v>222</v>
      </c>
      <c r="G9" s="1" t="s">
        <v>114</v>
      </c>
      <c r="I9" s="68" t="s">
        <v>223</v>
      </c>
      <c r="J9" s="1"/>
    </row>
    <row r="10" s="5" customFormat="1" ht="182" spans="1:12">
      <c r="A10" s="1" t="s">
        <v>120</v>
      </c>
      <c r="B10" s="6">
        <f>$B$2+A10-1</f>
        <v>71</v>
      </c>
      <c r="C10" s="6" t="str">
        <f t="shared" si="0"/>
        <v>0047</v>
      </c>
      <c r="D10" s="1"/>
      <c r="E10" s="1" t="s">
        <v>132</v>
      </c>
      <c r="F10" s="1" t="s">
        <v>224</v>
      </c>
      <c r="G10" s="1" t="s">
        <v>114</v>
      </c>
      <c r="I10" s="68" t="s">
        <v>225</v>
      </c>
      <c r="J10" s="1"/>
      <c r="L10" s="31"/>
    </row>
    <row r="11" s="5" customFormat="1" ht="224" spans="1:10">
      <c r="A11" s="1" t="s">
        <v>121</v>
      </c>
      <c r="B11" s="6">
        <f>$B$2+A11-1</f>
        <v>72</v>
      </c>
      <c r="C11" s="6" t="str">
        <f t="shared" si="0"/>
        <v>0048</v>
      </c>
      <c r="D11" s="1"/>
      <c r="E11" s="1" t="s">
        <v>132</v>
      </c>
      <c r="F11" s="1" t="s">
        <v>226</v>
      </c>
      <c r="G11" s="1" t="s">
        <v>114</v>
      </c>
      <c r="I11" s="68" t="s">
        <v>227</v>
      </c>
      <c r="J11" s="1"/>
    </row>
    <row r="12" s="71" customFormat="1" ht="168" spans="1:12">
      <c r="A12" s="75" t="s">
        <v>91</v>
      </c>
      <c r="B12" s="57">
        <f>$B$2+A12-1</f>
        <v>73</v>
      </c>
      <c r="C12" s="57" t="str">
        <f t="shared" si="0"/>
        <v>0049</v>
      </c>
      <c r="D12" s="75"/>
      <c r="E12" s="75" t="s">
        <v>132</v>
      </c>
      <c r="F12" s="75" t="s">
        <v>228</v>
      </c>
      <c r="G12" s="75" t="s">
        <v>114</v>
      </c>
      <c r="I12" s="78" t="s">
        <v>229</v>
      </c>
      <c r="J12" s="75"/>
      <c r="L12" s="79"/>
    </row>
    <row r="13" spans="1:10">
      <c r="A13" s="33" t="s">
        <v>122</v>
      </c>
      <c r="B13" s="34">
        <f>$B$2+A13-1</f>
        <v>74</v>
      </c>
      <c r="C13" s="34" t="str">
        <f t="shared" si="0"/>
        <v>004A</v>
      </c>
      <c r="D13" s="33"/>
      <c r="E13" s="1"/>
      <c r="F13" s="6"/>
      <c r="G13" s="1"/>
      <c r="H13" s="5"/>
      <c r="I13" s="13"/>
      <c r="J13" s="33"/>
    </row>
    <row r="14" spans="1:10">
      <c r="A14" s="33" t="s">
        <v>124</v>
      </c>
      <c r="B14" s="34">
        <f>$B$2+A14-1</f>
        <v>75</v>
      </c>
      <c r="C14" s="34" t="str">
        <f t="shared" si="0"/>
        <v>004B</v>
      </c>
      <c r="D14" s="33"/>
      <c r="E14" s="5"/>
      <c r="F14" s="5"/>
      <c r="G14" s="5"/>
      <c r="H14" s="5"/>
      <c r="I14" s="13"/>
      <c r="J14" s="33"/>
    </row>
    <row r="15" spans="1:10">
      <c r="A15" s="33" t="s">
        <v>125</v>
      </c>
      <c r="B15" s="34">
        <f>$B$2+A15-1</f>
        <v>76</v>
      </c>
      <c r="C15" s="34" t="str">
        <f t="shared" si="0"/>
        <v>004C</v>
      </c>
      <c r="D15" s="33"/>
      <c r="E15" s="5"/>
      <c r="F15" s="5"/>
      <c r="G15" s="5"/>
      <c r="H15" s="5"/>
      <c r="I15" s="13"/>
      <c r="J15" s="33"/>
    </row>
    <row r="16" spans="1:10">
      <c r="A16" s="33" t="s">
        <v>126</v>
      </c>
      <c r="B16" s="34">
        <f>$B$2+A16-1</f>
        <v>77</v>
      </c>
      <c r="C16" s="34" t="str">
        <f t="shared" si="0"/>
        <v>004D</v>
      </c>
      <c r="D16" s="33"/>
      <c r="E16" s="5"/>
      <c r="F16" s="5"/>
      <c r="G16" s="5"/>
      <c r="H16" s="5"/>
      <c r="I16" s="13"/>
      <c r="J16" s="33"/>
    </row>
    <row r="17" spans="1:10">
      <c r="A17" s="33" t="s">
        <v>127</v>
      </c>
      <c r="B17" s="34">
        <f>$B$2+A17-1</f>
        <v>78</v>
      </c>
      <c r="C17" s="34" t="str">
        <f t="shared" si="0"/>
        <v>004E</v>
      </c>
      <c r="D17" s="33"/>
      <c r="E17" s="5"/>
      <c r="F17" s="5"/>
      <c r="G17" s="5"/>
      <c r="H17" s="5"/>
      <c r="I17" s="13"/>
      <c r="J17" s="33"/>
    </row>
    <row r="18" spans="1:10">
      <c r="A18" s="33" t="s">
        <v>128</v>
      </c>
      <c r="B18" s="34">
        <f>$B$2+A18-1</f>
        <v>79</v>
      </c>
      <c r="C18" s="34" t="str">
        <f t="shared" si="0"/>
        <v>004F</v>
      </c>
      <c r="D18" s="33"/>
      <c r="E18" s="5"/>
      <c r="F18" s="5"/>
      <c r="G18" s="5"/>
      <c r="H18" s="5"/>
      <c r="I18" s="13"/>
      <c r="J18" s="33"/>
    </row>
    <row r="19" spans="1:10">
      <c r="A19" s="33" t="s">
        <v>131</v>
      </c>
      <c r="B19" s="34">
        <f>$B$2+A19-1</f>
        <v>80</v>
      </c>
      <c r="C19" s="34" t="str">
        <f t="shared" si="0"/>
        <v>0050</v>
      </c>
      <c r="D19" s="33"/>
      <c r="E19" s="1" t="s">
        <v>132</v>
      </c>
      <c r="F19" s="1" t="s">
        <v>230</v>
      </c>
      <c r="G19" s="1" t="s">
        <v>231</v>
      </c>
      <c r="H19" s="13" t="s">
        <v>232</v>
      </c>
      <c r="I19" s="13"/>
      <c r="J19" s="33"/>
    </row>
    <row r="20" spans="1:10">
      <c r="A20" s="33" t="s">
        <v>134</v>
      </c>
      <c r="B20" s="34">
        <f>$B$2+A20-1</f>
        <v>81</v>
      </c>
      <c r="C20" s="34" t="str">
        <f t="shared" si="0"/>
        <v>0051</v>
      </c>
      <c r="D20" s="33"/>
      <c r="E20" s="1" t="s">
        <v>132</v>
      </c>
      <c r="F20" s="1" t="s">
        <v>233</v>
      </c>
      <c r="G20" s="1" t="s">
        <v>231</v>
      </c>
      <c r="H20" s="13" t="s">
        <v>234</v>
      </c>
      <c r="I20" s="13"/>
      <c r="J20" s="33"/>
    </row>
    <row r="21" spans="1:10">
      <c r="A21" s="33" t="s">
        <v>136</v>
      </c>
      <c r="B21" s="34">
        <f>$B$2+A21-1</f>
        <v>82</v>
      </c>
      <c r="C21" s="34" t="str">
        <f t="shared" si="0"/>
        <v>0052</v>
      </c>
      <c r="D21" s="33"/>
      <c r="E21" s="1" t="s">
        <v>132</v>
      </c>
      <c r="F21" s="1" t="s">
        <v>235</v>
      </c>
      <c r="G21" s="1" t="s">
        <v>231</v>
      </c>
      <c r="H21" s="13" t="s">
        <v>236</v>
      </c>
      <c r="I21" s="13"/>
      <c r="J21" s="33"/>
    </row>
    <row r="22" spans="1:10">
      <c r="A22" s="33" t="s">
        <v>138</v>
      </c>
      <c r="B22" s="34">
        <f>$B$2+A22-1</f>
        <v>83</v>
      </c>
      <c r="C22" s="34" t="str">
        <f t="shared" si="0"/>
        <v>0053</v>
      </c>
      <c r="D22" s="33"/>
      <c r="E22" s="1" t="s">
        <v>132</v>
      </c>
      <c r="F22" s="1" t="s">
        <v>237</v>
      </c>
      <c r="G22" s="1" t="s">
        <v>231</v>
      </c>
      <c r="H22" s="13" t="s">
        <v>238</v>
      </c>
      <c r="I22" s="13"/>
      <c r="J22" s="33"/>
    </row>
    <row r="23" spans="1:10">
      <c r="A23" s="33" t="s">
        <v>140</v>
      </c>
      <c r="B23" s="34">
        <f>$B$2+A23-1</f>
        <v>84</v>
      </c>
      <c r="C23" s="34" t="str">
        <f t="shared" si="0"/>
        <v>0054</v>
      </c>
      <c r="D23" s="33"/>
      <c r="E23" s="1" t="s">
        <v>132</v>
      </c>
      <c r="F23" s="1" t="s">
        <v>239</v>
      </c>
      <c r="G23" s="1" t="s">
        <v>231</v>
      </c>
      <c r="H23" s="13" t="s">
        <v>232</v>
      </c>
      <c r="I23" s="13"/>
      <c r="J23" s="33"/>
    </row>
    <row r="24" spans="1:10">
      <c r="A24" s="33" t="s">
        <v>142</v>
      </c>
      <c r="B24" s="34">
        <f>$B$2+A24-1</f>
        <v>85</v>
      </c>
      <c r="C24" s="34" t="str">
        <f t="shared" si="0"/>
        <v>0055</v>
      </c>
      <c r="D24" s="33"/>
      <c r="E24" s="1" t="s">
        <v>132</v>
      </c>
      <c r="F24" s="1" t="s">
        <v>240</v>
      </c>
      <c r="G24" s="1" t="s">
        <v>231</v>
      </c>
      <c r="H24" s="13" t="s">
        <v>234</v>
      </c>
      <c r="I24" s="13"/>
      <c r="J24" s="33"/>
    </row>
    <row r="25" spans="1:10">
      <c r="A25" s="33" t="s">
        <v>144</v>
      </c>
      <c r="B25" s="34">
        <f>$B$2+A25-1</f>
        <v>86</v>
      </c>
      <c r="C25" s="34" t="str">
        <f t="shared" si="0"/>
        <v>0056</v>
      </c>
      <c r="D25" s="33"/>
      <c r="E25" s="1" t="s">
        <v>132</v>
      </c>
      <c r="F25" s="1" t="s">
        <v>241</v>
      </c>
      <c r="G25" s="1" t="s">
        <v>231</v>
      </c>
      <c r="H25" s="13" t="s">
        <v>236</v>
      </c>
      <c r="I25" s="13"/>
      <c r="J25" s="33"/>
    </row>
    <row r="26" spans="1:10">
      <c r="A26" s="33" t="s">
        <v>146</v>
      </c>
      <c r="B26" s="34">
        <f>$B$2+A26-1</f>
        <v>87</v>
      </c>
      <c r="C26" s="34" t="str">
        <f t="shared" si="0"/>
        <v>0057</v>
      </c>
      <c r="D26" s="33"/>
      <c r="E26" s="1" t="s">
        <v>132</v>
      </c>
      <c r="F26" s="1" t="s">
        <v>242</v>
      </c>
      <c r="G26" s="1" t="s">
        <v>231</v>
      </c>
      <c r="H26" s="13" t="s">
        <v>238</v>
      </c>
      <c r="I26" s="13"/>
      <c r="J26" s="33"/>
    </row>
    <row r="27" spans="1:10">
      <c r="A27" s="33" t="s">
        <v>148</v>
      </c>
      <c r="B27" s="34">
        <f>$B$2+A27-1</f>
        <v>88</v>
      </c>
      <c r="C27" s="34" t="str">
        <f t="shared" si="0"/>
        <v>0058</v>
      </c>
      <c r="D27" s="33"/>
      <c r="E27" s="1" t="s">
        <v>132</v>
      </c>
      <c r="F27" s="1" t="s">
        <v>243</v>
      </c>
      <c r="G27" s="1" t="s">
        <v>231</v>
      </c>
      <c r="H27" s="13" t="s">
        <v>232</v>
      </c>
      <c r="I27" s="13"/>
      <c r="J27" s="33"/>
    </row>
    <row r="28" spans="1:10">
      <c r="A28" s="33" t="s">
        <v>150</v>
      </c>
      <c r="B28" s="34">
        <f>$B$2+A28-1</f>
        <v>89</v>
      </c>
      <c r="C28" s="34" t="str">
        <f t="shared" si="0"/>
        <v>0059</v>
      </c>
      <c r="D28" s="33"/>
      <c r="E28" s="1" t="s">
        <v>132</v>
      </c>
      <c r="F28" s="1" t="s">
        <v>244</v>
      </c>
      <c r="G28" s="1" t="s">
        <v>231</v>
      </c>
      <c r="H28" s="13" t="s">
        <v>234</v>
      </c>
      <c r="I28" s="13"/>
      <c r="J28" s="33"/>
    </row>
    <row r="29" spans="1:10">
      <c r="A29" s="33" t="s">
        <v>152</v>
      </c>
      <c r="B29" s="34">
        <f>$B$2+A29-1</f>
        <v>90</v>
      </c>
      <c r="C29" s="34" t="str">
        <f t="shared" si="0"/>
        <v>005A</v>
      </c>
      <c r="D29" s="33"/>
      <c r="E29" s="1" t="s">
        <v>132</v>
      </c>
      <c r="F29" s="1" t="s">
        <v>245</v>
      </c>
      <c r="G29" s="1" t="s">
        <v>231</v>
      </c>
      <c r="H29" s="13" t="s">
        <v>236</v>
      </c>
      <c r="I29" s="13"/>
      <c r="J29" s="33"/>
    </row>
    <row r="30" spans="1:10">
      <c r="A30" s="33" t="s">
        <v>154</v>
      </c>
      <c r="B30" s="34">
        <f>$B$2+A30-1</f>
        <v>91</v>
      </c>
      <c r="C30" s="34" t="str">
        <f t="shared" si="0"/>
        <v>005B</v>
      </c>
      <c r="D30" s="33"/>
      <c r="E30" s="1" t="s">
        <v>132</v>
      </c>
      <c r="F30" s="1" t="s">
        <v>246</v>
      </c>
      <c r="G30" s="1" t="s">
        <v>231</v>
      </c>
      <c r="H30" s="13" t="s">
        <v>238</v>
      </c>
      <c r="I30" s="13"/>
      <c r="J30" s="33"/>
    </row>
    <row r="31" spans="1:10">
      <c r="A31" s="33" t="s">
        <v>156</v>
      </c>
      <c r="B31" s="34">
        <f>$B$2+A31-1</f>
        <v>92</v>
      </c>
      <c r="C31" s="34" t="str">
        <f t="shared" si="0"/>
        <v>005C</v>
      </c>
      <c r="D31" s="33"/>
      <c r="E31" s="1" t="s">
        <v>132</v>
      </c>
      <c r="F31" s="1" t="s">
        <v>247</v>
      </c>
      <c r="G31" s="1" t="s">
        <v>231</v>
      </c>
      <c r="H31" s="13" t="s">
        <v>238</v>
      </c>
      <c r="I31" s="1"/>
      <c r="J31" s="33"/>
    </row>
    <row r="32" spans="1:10">
      <c r="A32" s="33" t="s">
        <v>158</v>
      </c>
      <c r="B32" s="34">
        <f>$B$2+A32-1</f>
        <v>93</v>
      </c>
      <c r="C32" s="34" t="str">
        <f t="shared" si="0"/>
        <v>005D</v>
      </c>
      <c r="D32" s="33"/>
      <c r="E32" s="1" t="s">
        <v>132</v>
      </c>
      <c r="F32" s="1" t="s">
        <v>248</v>
      </c>
      <c r="G32" s="1" t="s">
        <v>231</v>
      </c>
      <c r="H32" s="13" t="s">
        <v>249</v>
      </c>
      <c r="I32" s="1"/>
      <c r="J32" s="33"/>
    </row>
    <row r="33" spans="1:10">
      <c r="A33" s="33" t="s">
        <v>160</v>
      </c>
      <c r="B33" s="34">
        <f>$B$2+A33-1</f>
        <v>94</v>
      </c>
      <c r="C33" s="34" t="str">
        <f t="shared" si="0"/>
        <v>005E</v>
      </c>
      <c r="D33" s="33"/>
      <c r="E33" s="1"/>
      <c r="F33" s="5"/>
      <c r="G33" s="5"/>
      <c r="H33" s="5"/>
      <c r="I33" s="13"/>
      <c r="J33" s="33"/>
    </row>
    <row r="34" spans="1:10">
      <c r="A34" s="33" t="s">
        <v>162</v>
      </c>
      <c r="B34" s="34">
        <f>$B$2+A34-1</f>
        <v>95</v>
      </c>
      <c r="C34" s="34" t="str">
        <f t="shared" si="0"/>
        <v>005F</v>
      </c>
      <c r="D34" s="33"/>
      <c r="E34" s="1"/>
      <c r="F34" s="5"/>
      <c r="G34" s="5"/>
      <c r="H34" s="5"/>
      <c r="I34" s="13"/>
      <c r="J34" s="33"/>
    </row>
    <row r="35" spans="1:9">
      <c r="A35" s="33" t="s">
        <v>164</v>
      </c>
      <c r="B35" s="34">
        <f t="shared" ref="B35:B66" si="1">$B$2+A35-1</f>
        <v>96</v>
      </c>
      <c r="C35" s="34" t="str">
        <f t="shared" ref="C35:C66" si="2">DEC2HEX(B35,4)</f>
        <v>0060</v>
      </c>
      <c r="E35" s="1" t="s">
        <v>132</v>
      </c>
      <c r="F35" s="1" t="s">
        <v>250</v>
      </c>
      <c r="G35" s="1" t="s">
        <v>231</v>
      </c>
      <c r="H35" s="13" t="s">
        <v>232</v>
      </c>
      <c r="I35" s="5"/>
    </row>
    <row r="36" spans="1:9">
      <c r="A36" s="33" t="s">
        <v>166</v>
      </c>
      <c r="B36" s="34">
        <f t="shared" si="1"/>
        <v>97</v>
      </c>
      <c r="C36" s="34" t="str">
        <f t="shared" si="2"/>
        <v>0061</v>
      </c>
      <c r="E36" s="1" t="s">
        <v>132</v>
      </c>
      <c r="F36" s="1" t="s">
        <v>251</v>
      </c>
      <c r="G36" s="1" t="s">
        <v>231</v>
      </c>
      <c r="H36" s="13" t="s">
        <v>234</v>
      </c>
      <c r="I36" s="5"/>
    </row>
    <row r="37" spans="1:9">
      <c r="A37" s="33" t="s">
        <v>168</v>
      </c>
      <c r="B37" s="34">
        <f t="shared" si="1"/>
        <v>98</v>
      </c>
      <c r="C37" s="34" t="str">
        <f t="shared" si="2"/>
        <v>0062</v>
      </c>
      <c r="E37" s="1" t="s">
        <v>132</v>
      </c>
      <c r="F37" s="1" t="s">
        <v>252</v>
      </c>
      <c r="G37" s="1" t="s">
        <v>231</v>
      </c>
      <c r="H37" s="13" t="s">
        <v>236</v>
      </c>
      <c r="I37" s="5"/>
    </row>
    <row r="38" spans="1:9">
      <c r="A38" s="33" t="s">
        <v>170</v>
      </c>
      <c r="B38" s="34">
        <f t="shared" si="1"/>
        <v>99</v>
      </c>
      <c r="C38" s="34" t="str">
        <f t="shared" si="2"/>
        <v>0063</v>
      </c>
      <c r="E38" s="1" t="s">
        <v>132</v>
      </c>
      <c r="F38" s="1" t="s">
        <v>253</v>
      </c>
      <c r="G38" s="1" t="s">
        <v>231</v>
      </c>
      <c r="H38" s="13" t="s">
        <v>238</v>
      </c>
      <c r="I38" s="5"/>
    </row>
    <row r="39" spans="1:9">
      <c r="A39" s="33" t="s">
        <v>172</v>
      </c>
      <c r="B39" s="34">
        <f t="shared" si="1"/>
        <v>100</v>
      </c>
      <c r="C39" s="34" t="str">
        <f t="shared" si="2"/>
        <v>0064</v>
      </c>
      <c r="E39" s="1" t="s">
        <v>132</v>
      </c>
      <c r="F39" s="1" t="s">
        <v>254</v>
      </c>
      <c r="G39" s="1" t="s">
        <v>231</v>
      </c>
      <c r="H39" s="13" t="s">
        <v>232</v>
      </c>
      <c r="I39" s="5"/>
    </row>
    <row r="40" spans="1:9">
      <c r="A40" s="33" t="s">
        <v>174</v>
      </c>
      <c r="B40" s="34">
        <f t="shared" si="1"/>
        <v>101</v>
      </c>
      <c r="C40" s="34" t="str">
        <f t="shared" si="2"/>
        <v>0065</v>
      </c>
      <c r="E40" s="1" t="s">
        <v>132</v>
      </c>
      <c r="F40" s="1" t="s">
        <v>255</v>
      </c>
      <c r="G40" s="1" t="s">
        <v>231</v>
      </c>
      <c r="H40" s="13" t="s">
        <v>234</v>
      </c>
      <c r="I40" s="5"/>
    </row>
    <row r="41" spans="1:9">
      <c r="A41" s="33" t="s">
        <v>176</v>
      </c>
      <c r="B41" s="34">
        <f t="shared" si="1"/>
        <v>102</v>
      </c>
      <c r="C41" s="34" t="str">
        <f t="shared" si="2"/>
        <v>0066</v>
      </c>
      <c r="E41" s="1" t="s">
        <v>132</v>
      </c>
      <c r="F41" s="1" t="s">
        <v>256</v>
      </c>
      <c r="G41" s="1" t="s">
        <v>231</v>
      </c>
      <c r="H41" s="13" t="s">
        <v>236</v>
      </c>
      <c r="I41" s="5"/>
    </row>
    <row r="42" spans="1:9">
      <c r="A42" s="33" t="s">
        <v>177</v>
      </c>
      <c r="B42" s="34">
        <f t="shared" si="1"/>
        <v>103</v>
      </c>
      <c r="C42" s="34" t="str">
        <f t="shared" si="2"/>
        <v>0067</v>
      </c>
      <c r="E42" s="1" t="s">
        <v>132</v>
      </c>
      <c r="F42" s="1" t="s">
        <v>257</v>
      </c>
      <c r="G42" s="1" t="s">
        <v>231</v>
      </c>
      <c r="H42" s="13" t="s">
        <v>238</v>
      </c>
      <c r="I42" s="5"/>
    </row>
    <row r="43" spans="1:9">
      <c r="A43" s="33" t="s">
        <v>178</v>
      </c>
      <c r="B43" s="34">
        <f t="shared" si="1"/>
        <v>104</v>
      </c>
      <c r="C43" s="34" t="str">
        <f t="shared" si="2"/>
        <v>0068</v>
      </c>
      <c r="E43" s="1" t="s">
        <v>132</v>
      </c>
      <c r="F43" s="1" t="s">
        <v>258</v>
      </c>
      <c r="G43" s="1" t="s">
        <v>231</v>
      </c>
      <c r="H43" s="13" t="s">
        <v>232</v>
      </c>
      <c r="I43" s="5"/>
    </row>
    <row r="44" spans="1:9">
      <c r="A44" s="33" t="s">
        <v>179</v>
      </c>
      <c r="B44" s="34">
        <f t="shared" si="1"/>
        <v>105</v>
      </c>
      <c r="C44" s="34" t="str">
        <f t="shared" si="2"/>
        <v>0069</v>
      </c>
      <c r="E44" s="1" t="s">
        <v>132</v>
      </c>
      <c r="F44" s="1" t="s">
        <v>259</v>
      </c>
      <c r="G44" s="1" t="s">
        <v>231</v>
      </c>
      <c r="H44" s="13" t="s">
        <v>234</v>
      </c>
      <c r="I44" s="5"/>
    </row>
    <row r="45" spans="1:9">
      <c r="A45" s="33" t="s">
        <v>180</v>
      </c>
      <c r="B45" s="34">
        <f t="shared" si="1"/>
        <v>106</v>
      </c>
      <c r="C45" s="34" t="str">
        <f t="shared" si="2"/>
        <v>006A</v>
      </c>
      <c r="E45" s="1" t="s">
        <v>132</v>
      </c>
      <c r="F45" s="1" t="s">
        <v>260</v>
      </c>
      <c r="G45" s="1" t="s">
        <v>231</v>
      </c>
      <c r="H45" s="13" t="s">
        <v>236</v>
      </c>
      <c r="I45" s="5"/>
    </row>
    <row r="46" spans="1:9">
      <c r="A46" s="33" t="s">
        <v>181</v>
      </c>
      <c r="B46" s="34">
        <f t="shared" si="1"/>
        <v>107</v>
      </c>
      <c r="C46" s="34" t="str">
        <f t="shared" si="2"/>
        <v>006B</v>
      </c>
      <c r="E46" s="1" t="s">
        <v>132</v>
      </c>
      <c r="F46" s="1" t="s">
        <v>261</v>
      </c>
      <c r="G46" s="1" t="s">
        <v>231</v>
      </c>
      <c r="H46" s="13" t="s">
        <v>238</v>
      </c>
      <c r="I46" s="5"/>
    </row>
    <row r="47" spans="1:9">
      <c r="A47" s="33" t="s">
        <v>182</v>
      </c>
      <c r="B47" s="34">
        <f t="shared" si="1"/>
        <v>108</v>
      </c>
      <c r="C47" s="34" t="str">
        <f t="shared" si="2"/>
        <v>006C</v>
      </c>
      <c r="E47" s="1" t="s">
        <v>132</v>
      </c>
      <c r="F47" s="1" t="s">
        <v>262</v>
      </c>
      <c r="G47" s="1" t="s">
        <v>231</v>
      </c>
      <c r="H47" s="13" t="s">
        <v>238</v>
      </c>
      <c r="I47" s="5"/>
    </row>
    <row r="48" spans="1:9">
      <c r="A48" s="33" t="s">
        <v>183</v>
      </c>
      <c r="B48" s="34">
        <f t="shared" si="1"/>
        <v>109</v>
      </c>
      <c r="C48" s="34" t="str">
        <f t="shared" si="2"/>
        <v>006D</v>
      </c>
      <c r="E48" s="1" t="s">
        <v>132</v>
      </c>
      <c r="F48" s="1" t="s">
        <v>263</v>
      </c>
      <c r="G48" s="1" t="s">
        <v>231</v>
      </c>
      <c r="H48" s="13" t="s">
        <v>249</v>
      </c>
      <c r="I48" s="5"/>
    </row>
    <row r="49" spans="1:9">
      <c r="A49" s="33" t="s">
        <v>184</v>
      </c>
      <c r="B49" s="34">
        <f t="shared" si="1"/>
        <v>110</v>
      </c>
      <c r="C49" s="34" t="str">
        <f t="shared" si="2"/>
        <v>006E</v>
      </c>
      <c r="E49" s="5"/>
      <c r="F49" s="5"/>
      <c r="G49" s="5"/>
      <c r="H49" s="5"/>
      <c r="I49" s="5"/>
    </row>
    <row r="50" spans="1:9">
      <c r="A50" s="33" t="s">
        <v>185</v>
      </c>
      <c r="B50" s="34">
        <f t="shared" si="1"/>
        <v>111</v>
      </c>
      <c r="C50" s="34" t="str">
        <f t="shared" si="2"/>
        <v>006F</v>
      </c>
      <c r="E50" s="5"/>
      <c r="F50" s="5"/>
      <c r="G50" s="5"/>
      <c r="H50" s="5"/>
      <c r="I50" s="5"/>
    </row>
    <row r="51" spans="1:9">
      <c r="A51" s="33" t="s">
        <v>186</v>
      </c>
      <c r="B51" s="34">
        <f t="shared" si="1"/>
        <v>112</v>
      </c>
      <c r="C51" s="34" t="str">
        <f t="shared" si="2"/>
        <v>0070</v>
      </c>
      <c r="E51" s="1" t="s">
        <v>132</v>
      </c>
      <c r="F51" s="1" t="s">
        <v>264</v>
      </c>
      <c r="G51" s="1" t="s">
        <v>231</v>
      </c>
      <c r="H51" s="13" t="s">
        <v>232</v>
      </c>
      <c r="I51" s="5"/>
    </row>
    <row r="52" spans="1:9">
      <c r="A52" s="33" t="s">
        <v>187</v>
      </c>
      <c r="B52" s="34">
        <f t="shared" si="1"/>
        <v>113</v>
      </c>
      <c r="C52" s="34" t="str">
        <f t="shared" si="2"/>
        <v>0071</v>
      </c>
      <c r="E52" s="1" t="s">
        <v>132</v>
      </c>
      <c r="F52" s="1" t="s">
        <v>265</v>
      </c>
      <c r="G52" s="1" t="s">
        <v>231</v>
      </c>
      <c r="H52" s="13" t="s">
        <v>234</v>
      </c>
      <c r="I52" s="5"/>
    </row>
    <row r="53" spans="1:9">
      <c r="A53" s="33" t="s">
        <v>188</v>
      </c>
      <c r="B53" s="34">
        <f t="shared" si="1"/>
        <v>114</v>
      </c>
      <c r="C53" s="34" t="str">
        <f t="shared" si="2"/>
        <v>0072</v>
      </c>
      <c r="E53" s="1" t="s">
        <v>132</v>
      </c>
      <c r="F53" s="1" t="s">
        <v>266</v>
      </c>
      <c r="G53" s="1" t="s">
        <v>231</v>
      </c>
      <c r="H53" s="13" t="s">
        <v>236</v>
      </c>
      <c r="I53" s="5"/>
    </row>
    <row r="54" spans="1:9">
      <c r="A54" s="33" t="s">
        <v>189</v>
      </c>
      <c r="B54" s="34">
        <f t="shared" si="1"/>
        <v>115</v>
      </c>
      <c r="C54" s="34" t="str">
        <f t="shared" si="2"/>
        <v>0073</v>
      </c>
      <c r="E54" s="1" t="s">
        <v>132</v>
      </c>
      <c r="F54" s="1" t="s">
        <v>267</v>
      </c>
      <c r="G54" s="1" t="s">
        <v>231</v>
      </c>
      <c r="H54" s="13" t="s">
        <v>238</v>
      </c>
      <c r="I54" s="5"/>
    </row>
    <row r="55" spans="1:9">
      <c r="A55" s="33" t="s">
        <v>190</v>
      </c>
      <c r="B55" s="34">
        <f t="shared" si="1"/>
        <v>116</v>
      </c>
      <c r="C55" s="34" t="str">
        <f t="shared" si="2"/>
        <v>0074</v>
      </c>
      <c r="E55" s="1" t="s">
        <v>132</v>
      </c>
      <c r="F55" s="1" t="s">
        <v>268</v>
      </c>
      <c r="G55" s="1" t="s">
        <v>231</v>
      </c>
      <c r="H55" s="13" t="s">
        <v>232</v>
      </c>
      <c r="I55" s="5"/>
    </row>
    <row r="56" spans="1:9">
      <c r="A56" s="33" t="s">
        <v>191</v>
      </c>
      <c r="B56" s="34">
        <f t="shared" si="1"/>
        <v>117</v>
      </c>
      <c r="C56" s="34" t="str">
        <f t="shared" si="2"/>
        <v>0075</v>
      </c>
      <c r="E56" s="1" t="s">
        <v>132</v>
      </c>
      <c r="F56" s="1" t="s">
        <v>269</v>
      </c>
      <c r="G56" s="1" t="s">
        <v>231</v>
      </c>
      <c r="H56" s="13" t="s">
        <v>234</v>
      </c>
      <c r="I56" s="5"/>
    </row>
    <row r="57" spans="1:9">
      <c r="A57" s="33" t="s">
        <v>192</v>
      </c>
      <c r="B57" s="34">
        <f t="shared" si="1"/>
        <v>118</v>
      </c>
      <c r="C57" s="34" t="str">
        <f t="shared" si="2"/>
        <v>0076</v>
      </c>
      <c r="E57" s="1" t="s">
        <v>132</v>
      </c>
      <c r="F57" s="1" t="s">
        <v>270</v>
      </c>
      <c r="G57" s="1" t="s">
        <v>231</v>
      </c>
      <c r="H57" s="13" t="s">
        <v>236</v>
      </c>
      <c r="I57" s="5"/>
    </row>
    <row r="58" spans="1:9">
      <c r="A58" s="33" t="s">
        <v>193</v>
      </c>
      <c r="B58" s="34">
        <f t="shared" si="1"/>
        <v>119</v>
      </c>
      <c r="C58" s="34" t="str">
        <f t="shared" si="2"/>
        <v>0077</v>
      </c>
      <c r="E58" s="1" t="s">
        <v>132</v>
      </c>
      <c r="F58" s="1" t="s">
        <v>271</v>
      </c>
      <c r="G58" s="1" t="s">
        <v>231</v>
      </c>
      <c r="H58" s="13" t="s">
        <v>238</v>
      </c>
      <c r="I58" s="5"/>
    </row>
    <row r="59" spans="1:9">
      <c r="A59" s="33" t="s">
        <v>194</v>
      </c>
      <c r="B59" s="34">
        <f t="shared" si="1"/>
        <v>120</v>
      </c>
      <c r="C59" s="34" t="str">
        <f t="shared" si="2"/>
        <v>0078</v>
      </c>
      <c r="E59" s="1" t="s">
        <v>132</v>
      </c>
      <c r="F59" s="1" t="s">
        <v>272</v>
      </c>
      <c r="G59" s="1" t="s">
        <v>231</v>
      </c>
      <c r="H59" s="13" t="s">
        <v>232</v>
      </c>
      <c r="I59" s="5"/>
    </row>
    <row r="60" spans="1:9">
      <c r="A60" s="33" t="s">
        <v>197</v>
      </c>
      <c r="B60" s="34">
        <f t="shared" si="1"/>
        <v>121</v>
      </c>
      <c r="C60" s="34" t="str">
        <f t="shared" si="2"/>
        <v>0079</v>
      </c>
      <c r="E60" s="1" t="s">
        <v>132</v>
      </c>
      <c r="F60" s="1" t="s">
        <v>273</v>
      </c>
      <c r="G60" s="1" t="s">
        <v>231</v>
      </c>
      <c r="H60" s="13" t="s">
        <v>234</v>
      </c>
      <c r="I60" s="5"/>
    </row>
    <row r="61" spans="1:9">
      <c r="A61" s="33" t="s">
        <v>200</v>
      </c>
      <c r="B61" s="34">
        <f t="shared" si="1"/>
        <v>122</v>
      </c>
      <c r="C61" s="34" t="str">
        <f t="shared" si="2"/>
        <v>007A</v>
      </c>
      <c r="E61" s="1" t="s">
        <v>132</v>
      </c>
      <c r="F61" s="1" t="s">
        <v>274</v>
      </c>
      <c r="G61" s="1" t="s">
        <v>231</v>
      </c>
      <c r="H61" s="13" t="s">
        <v>236</v>
      </c>
      <c r="I61" s="5"/>
    </row>
    <row r="62" spans="1:9">
      <c r="A62" s="33" t="s">
        <v>202</v>
      </c>
      <c r="B62" s="34">
        <f t="shared" si="1"/>
        <v>123</v>
      </c>
      <c r="C62" s="34" t="str">
        <f t="shared" si="2"/>
        <v>007B</v>
      </c>
      <c r="E62" s="1" t="s">
        <v>132</v>
      </c>
      <c r="F62" s="1" t="s">
        <v>275</v>
      </c>
      <c r="G62" s="1" t="s">
        <v>231</v>
      </c>
      <c r="H62" s="13" t="s">
        <v>238</v>
      </c>
      <c r="I62" s="5"/>
    </row>
    <row r="63" spans="1:9">
      <c r="A63" s="33" t="s">
        <v>204</v>
      </c>
      <c r="B63" s="34">
        <f t="shared" si="1"/>
        <v>124</v>
      </c>
      <c r="C63" s="34" t="str">
        <f t="shared" si="2"/>
        <v>007C</v>
      </c>
      <c r="E63" s="1" t="s">
        <v>132</v>
      </c>
      <c r="F63" s="1" t="s">
        <v>276</v>
      </c>
      <c r="G63" s="1" t="s">
        <v>231</v>
      </c>
      <c r="H63" s="13" t="s">
        <v>238</v>
      </c>
      <c r="I63" s="5"/>
    </row>
    <row r="64" spans="1:9">
      <c r="A64" s="33" t="s">
        <v>206</v>
      </c>
      <c r="B64" s="34">
        <f t="shared" si="1"/>
        <v>125</v>
      </c>
      <c r="C64" s="34" t="str">
        <f t="shared" si="2"/>
        <v>007D</v>
      </c>
      <c r="E64" s="1" t="s">
        <v>132</v>
      </c>
      <c r="F64" s="1" t="s">
        <v>277</v>
      </c>
      <c r="G64" s="1" t="s">
        <v>231</v>
      </c>
      <c r="H64" s="13" t="s">
        <v>249</v>
      </c>
      <c r="I64" s="5"/>
    </row>
    <row r="65" spans="1:9">
      <c r="A65" s="33" t="s">
        <v>208</v>
      </c>
      <c r="B65" s="34">
        <f t="shared" si="1"/>
        <v>126</v>
      </c>
      <c r="C65" s="34" t="str">
        <f t="shared" si="2"/>
        <v>007E</v>
      </c>
      <c r="E65" s="5"/>
      <c r="F65" s="5"/>
      <c r="G65" s="5"/>
      <c r="H65" s="5"/>
      <c r="I65" s="5"/>
    </row>
    <row r="66" spans="1:9">
      <c r="A66" s="33" t="s">
        <v>210</v>
      </c>
      <c r="B66" s="34">
        <f t="shared" si="1"/>
        <v>127</v>
      </c>
      <c r="C66" s="34" t="str">
        <f t="shared" si="2"/>
        <v>007F</v>
      </c>
      <c r="E66" s="5"/>
      <c r="F66" s="5"/>
      <c r="G66" s="5"/>
      <c r="H66" s="5"/>
      <c r="I66" s="5"/>
    </row>
    <row r="67" spans="1:9">
      <c r="A67" s="33" t="s">
        <v>278</v>
      </c>
      <c r="B67" s="34">
        <f t="shared" ref="B67:B98" si="3">$B$2+A67-1</f>
        <v>128</v>
      </c>
      <c r="C67" s="34" t="str">
        <f t="shared" ref="C67:C98" si="4">DEC2HEX(B67,4)</f>
        <v>0080</v>
      </c>
      <c r="E67" s="1" t="s">
        <v>132</v>
      </c>
      <c r="F67" s="1" t="s">
        <v>279</v>
      </c>
      <c r="G67" s="1" t="s">
        <v>231</v>
      </c>
      <c r="H67" s="13" t="s">
        <v>232</v>
      </c>
      <c r="I67" s="5"/>
    </row>
    <row r="68" spans="1:9">
      <c r="A68" s="33" t="s">
        <v>280</v>
      </c>
      <c r="B68" s="34">
        <f t="shared" si="3"/>
        <v>129</v>
      </c>
      <c r="C68" s="34" t="str">
        <f t="shared" si="4"/>
        <v>0081</v>
      </c>
      <c r="E68" s="1" t="s">
        <v>132</v>
      </c>
      <c r="F68" s="1" t="s">
        <v>281</v>
      </c>
      <c r="G68" s="1" t="s">
        <v>231</v>
      </c>
      <c r="H68" s="13" t="s">
        <v>282</v>
      </c>
      <c r="I68" s="5"/>
    </row>
    <row r="69" spans="1:9">
      <c r="A69" s="33" t="s">
        <v>283</v>
      </c>
      <c r="B69" s="34">
        <f t="shared" si="3"/>
        <v>130</v>
      </c>
      <c r="C69" s="34" t="str">
        <f t="shared" si="4"/>
        <v>0082</v>
      </c>
      <c r="E69" s="1" t="s">
        <v>132</v>
      </c>
      <c r="F69" s="1" t="s">
        <v>284</v>
      </c>
      <c r="G69" s="1" t="s">
        <v>231</v>
      </c>
      <c r="H69" s="13" t="s">
        <v>232</v>
      </c>
      <c r="I69" s="5"/>
    </row>
    <row r="70" spans="1:9">
      <c r="A70" s="33" t="s">
        <v>285</v>
      </c>
      <c r="B70" s="34">
        <f t="shared" si="3"/>
        <v>131</v>
      </c>
      <c r="C70" s="34" t="str">
        <f t="shared" si="4"/>
        <v>0083</v>
      </c>
      <c r="E70" s="1" t="s">
        <v>132</v>
      </c>
      <c r="F70" s="1" t="s">
        <v>286</v>
      </c>
      <c r="G70" s="1" t="s">
        <v>231</v>
      </c>
      <c r="H70" s="13" t="s">
        <v>282</v>
      </c>
      <c r="I70" s="5"/>
    </row>
    <row r="71" spans="1:9">
      <c r="A71" s="33" t="s">
        <v>287</v>
      </c>
      <c r="B71" s="34">
        <f t="shared" si="3"/>
        <v>132</v>
      </c>
      <c r="C71" s="34" t="str">
        <f t="shared" si="4"/>
        <v>0084</v>
      </c>
      <c r="E71" s="1" t="s">
        <v>132</v>
      </c>
      <c r="F71" s="1" t="s">
        <v>288</v>
      </c>
      <c r="G71" s="1" t="s">
        <v>231</v>
      </c>
      <c r="H71" s="13" t="s">
        <v>249</v>
      </c>
      <c r="I71" s="5"/>
    </row>
    <row r="72" spans="1:9">
      <c r="A72" s="33" t="s">
        <v>289</v>
      </c>
      <c r="B72" s="34">
        <f t="shared" si="3"/>
        <v>133</v>
      </c>
      <c r="C72" s="34" t="str">
        <f t="shared" si="4"/>
        <v>0085</v>
      </c>
      <c r="E72" s="1" t="s">
        <v>132</v>
      </c>
      <c r="F72" s="1" t="s">
        <v>290</v>
      </c>
      <c r="G72" s="1" t="s">
        <v>231</v>
      </c>
      <c r="H72" s="13" t="s">
        <v>238</v>
      </c>
      <c r="I72" s="5"/>
    </row>
    <row r="73" spans="1:9">
      <c r="A73" s="33" t="s">
        <v>291</v>
      </c>
      <c r="B73" s="34">
        <f t="shared" si="3"/>
        <v>134</v>
      </c>
      <c r="C73" s="34" t="str">
        <f t="shared" si="4"/>
        <v>0086</v>
      </c>
      <c r="E73" s="5"/>
      <c r="F73" s="5"/>
      <c r="G73" s="5"/>
      <c r="H73" s="5"/>
      <c r="I73" s="5"/>
    </row>
    <row r="74" spans="1:9">
      <c r="A74" s="33" t="s">
        <v>292</v>
      </c>
      <c r="B74" s="34">
        <f t="shared" si="3"/>
        <v>135</v>
      </c>
      <c r="C74" s="34" t="str">
        <f t="shared" si="4"/>
        <v>0087</v>
      </c>
      <c r="E74" s="5"/>
      <c r="F74" s="5"/>
      <c r="G74" s="5"/>
      <c r="H74" s="5"/>
      <c r="I74" s="5"/>
    </row>
    <row r="75" spans="1:9">
      <c r="A75" s="33" t="s">
        <v>293</v>
      </c>
      <c r="B75" s="34">
        <f t="shared" si="3"/>
        <v>136</v>
      </c>
      <c r="C75" s="34" t="str">
        <f t="shared" si="4"/>
        <v>0088</v>
      </c>
      <c r="E75" s="1" t="s">
        <v>132</v>
      </c>
      <c r="F75" s="6" t="s">
        <v>294</v>
      </c>
      <c r="G75" s="1" t="s">
        <v>231</v>
      </c>
      <c r="H75" s="5" t="s">
        <v>232</v>
      </c>
      <c r="I75" s="5"/>
    </row>
    <row r="76" spans="1:9">
      <c r="A76" s="33" t="s">
        <v>295</v>
      </c>
      <c r="B76" s="34">
        <f t="shared" si="3"/>
        <v>137</v>
      </c>
      <c r="C76" s="34" t="str">
        <f t="shared" si="4"/>
        <v>0089</v>
      </c>
      <c r="E76" s="1" t="s">
        <v>132</v>
      </c>
      <c r="F76" s="6" t="s">
        <v>296</v>
      </c>
      <c r="G76" s="1" t="s">
        <v>231</v>
      </c>
      <c r="H76" s="13" t="s">
        <v>282</v>
      </c>
      <c r="I76" s="5"/>
    </row>
    <row r="77" spans="1:9">
      <c r="A77" s="33" t="s">
        <v>297</v>
      </c>
      <c r="B77" s="34">
        <f t="shared" si="3"/>
        <v>138</v>
      </c>
      <c r="C77" s="34" t="str">
        <f t="shared" si="4"/>
        <v>008A</v>
      </c>
      <c r="E77" s="1" t="s">
        <v>132</v>
      </c>
      <c r="F77" s="6" t="s">
        <v>298</v>
      </c>
      <c r="G77" s="1" t="s">
        <v>231</v>
      </c>
      <c r="H77" s="5" t="s">
        <v>299</v>
      </c>
      <c r="I77" s="5"/>
    </row>
    <row r="78" spans="1:9">
      <c r="A78" s="33" t="s">
        <v>300</v>
      </c>
      <c r="B78" s="34">
        <f t="shared" si="3"/>
        <v>139</v>
      </c>
      <c r="C78" s="34" t="str">
        <f t="shared" si="4"/>
        <v>008B</v>
      </c>
      <c r="E78" s="1" t="s">
        <v>132</v>
      </c>
      <c r="F78" s="6" t="s">
        <v>301</v>
      </c>
      <c r="G78" s="1" t="s">
        <v>231</v>
      </c>
      <c r="H78" s="5" t="s">
        <v>302</v>
      </c>
      <c r="I78" s="5"/>
    </row>
    <row r="79" spans="1:9">
      <c r="A79" s="33" t="s">
        <v>303</v>
      </c>
      <c r="B79" s="34">
        <f t="shared" si="3"/>
        <v>140</v>
      </c>
      <c r="C79" s="34" t="str">
        <f t="shared" si="4"/>
        <v>008C</v>
      </c>
      <c r="E79" s="1" t="s">
        <v>132</v>
      </c>
      <c r="F79" s="6" t="s">
        <v>304</v>
      </c>
      <c r="G79" s="1" t="s">
        <v>114</v>
      </c>
      <c r="H79" s="5" t="s">
        <v>232</v>
      </c>
      <c r="I79" s="5"/>
    </row>
    <row r="80" spans="1:9">
      <c r="A80" s="33" t="s">
        <v>305</v>
      </c>
      <c r="B80" s="34">
        <f t="shared" si="3"/>
        <v>141</v>
      </c>
      <c r="C80" s="34" t="str">
        <f t="shared" si="4"/>
        <v>008D</v>
      </c>
      <c r="E80" s="1" t="s">
        <v>132</v>
      </c>
      <c r="F80" s="6" t="s">
        <v>306</v>
      </c>
      <c r="G80" s="1" t="s">
        <v>114</v>
      </c>
      <c r="H80" s="5" t="s">
        <v>307</v>
      </c>
      <c r="I80" s="5"/>
    </row>
    <row r="81" spans="1:9">
      <c r="A81" s="33" t="s">
        <v>308</v>
      </c>
      <c r="B81" s="34">
        <f t="shared" si="3"/>
        <v>142</v>
      </c>
      <c r="C81" s="34" t="str">
        <f t="shared" si="4"/>
        <v>008E</v>
      </c>
      <c r="E81" s="1" t="s">
        <v>132</v>
      </c>
      <c r="F81" s="6" t="s">
        <v>309</v>
      </c>
      <c r="G81" s="1" t="s">
        <v>114</v>
      </c>
      <c r="H81" s="5" t="s">
        <v>307</v>
      </c>
      <c r="I81" s="5"/>
    </row>
    <row r="82" s="62" customFormat="1" spans="1:7">
      <c r="A82" s="63" t="s">
        <v>310</v>
      </c>
      <c r="B82" s="64">
        <f t="shared" si="3"/>
        <v>143</v>
      </c>
      <c r="C82" s="64" t="str">
        <f t="shared" si="4"/>
        <v>008F</v>
      </c>
      <c r="E82" s="63" t="s">
        <v>132</v>
      </c>
      <c r="F82" s="64" t="s">
        <v>311</v>
      </c>
      <c r="G82" s="63" t="s">
        <v>114</v>
      </c>
    </row>
    <row r="83" spans="1:9">
      <c r="A83" s="33" t="s">
        <v>312</v>
      </c>
      <c r="B83" s="34">
        <f t="shared" si="3"/>
        <v>144</v>
      </c>
      <c r="C83" s="34" t="str">
        <f t="shared" si="4"/>
        <v>0090</v>
      </c>
      <c r="E83" s="1" t="s">
        <v>132</v>
      </c>
      <c r="F83" s="6" t="s">
        <v>313</v>
      </c>
      <c r="G83" s="1" t="s">
        <v>114</v>
      </c>
      <c r="H83" s="5"/>
      <c r="I83" s="5"/>
    </row>
    <row r="84" spans="1:9">
      <c r="A84" s="33" t="s">
        <v>314</v>
      </c>
      <c r="B84" s="34">
        <f t="shared" si="3"/>
        <v>145</v>
      </c>
      <c r="C84" s="34" t="str">
        <f t="shared" si="4"/>
        <v>0091</v>
      </c>
      <c r="E84" s="1" t="s">
        <v>132</v>
      </c>
      <c r="F84" s="6" t="s">
        <v>315</v>
      </c>
      <c r="G84" s="1" t="s">
        <v>114</v>
      </c>
      <c r="H84" s="5"/>
      <c r="I84" s="5"/>
    </row>
    <row r="85" spans="1:9">
      <c r="A85" s="33" t="s">
        <v>97</v>
      </c>
      <c r="B85" s="34">
        <f t="shared" si="3"/>
        <v>146</v>
      </c>
      <c r="C85" s="34" t="str">
        <f t="shared" si="4"/>
        <v>0092</v>
      </c>
      <c r="E85" s="1" t="s">
        <v>132</v>
      </c>
      <c r="F85" s="6" t="s">
        <v>316</v>
      </c>
      <c r="G85" s="1" t="s">
        <v>114</v>
      </c>
      <c r="H85" s="5"/>
      <c r="I85" s="5"/>
    </row>
    <row r="86" spans="1:9">
      <c r="A86" s="33" t="s">
        <v>317</v>
      </c>
      <c r="B86" s="34">
        <f t="shared" si="3"/>
        <v>147</v>
      </c>
      <c r="C86" s="34" t="str">
        <f t="shared" si="4"/>
        <v>0093</v>
      </c>
      <c r="E86" s="5"/>
      <c r="F86" s="5"/>
      <c r="G86" s="5"/>
      <c r="H86" s="5"/>
      <c r="I86" s="5"/>
    </row>
    <row r="87" spans="1:9">
      <c r="A87" s="33" t="s">
        <v>318</v>
      </c>
      <c r="B87" s="34">
        <f t="shared" si="3"/>
        <v>148</v>
      </c>
      <c r="C87" s="34" t="str">
        <f t="shared" si="4"/>
        <v>0094</v>
      </c>
      <c r="E87" s="5"/>
      <c r="F87" s="5"/>
      <c r="G87" s="5"/>
      <c r="H87" s="5"/>
      <c r="I87" s="5"/>
    </row>
    <row r="88" spans="1:9">
      <c r="A88" s="33" t="s">
        <v>319</v>
      </c>
      <c r="B88" s="34">
        <f t="shared" si="3"/>
        <v>149</v>
      </c>
      <c r="C88" s="34" t="str">
        <f t="shared" si="4"/>
        <v>0095</v>
      </c>
      <c r="E88" s="5"/>
      <c r="F88" s="5"/>
      <c r="G88" s="5"/>
      <c r="H88" s="5"/>
      <c r="I88" s="5"/>
    </row>
    <row r="89" spans="1:9">
      <c r="A89" s="33" t="s">
        <v>320</v>
      </c>
      <c r="B89" s="34">
        <f t="shared" si="3"/>
        <v>150</v>
      </c>
      <c r="C89" s="34" t="str">
        <f t="shared" si="4"/>
        <v>0096</v>
      </c>
      <c r="E89" s="1" t="s">
        <v>132</v>
      </c>
      <c r="F89" s="6" t="s">
        <v>321</v>
      </c>
      <c r="G89" s="1" t="s">
        <v>231</v>
      </c>
      <c r="H89" s="13" t="s">
        <v>232</v>
      </c>
      <c r="I89" s="5"/>
    </row>
    <row r="90" spans="1:9">
      <c r="A90" s="33" t="s">
        <v>322</v>
      </c>
      <c r="B90" s="34">
        <f t="shared" si="3"/>
        <v>151</v>
      </c>
      <c r="C90" s="34" t="str">
        <f t="shared" si="4"/>
        <v>0097</v>
      </c>
      <c r="E90" s="1" t="s">
        <v>132</v>
      </c>
      <c r="F90" s="6" t="s">
        <v>323</v>
      </c>
      <c r="G90" s="1" t="s">
        <v>231</v>
      </c>
      <c r="H90" s="13" t="s">
        <v>234</v>
      </c>
      <c r="I90" s="5"/>
    </row>
    <row r="91" spans="1:9">
      <c r="A91" s="33" t="s">
        <v>324</v>
      </c>
      <c r="B91" s="34">
        <f t="shared" si="3"/>
        <v>152</v>
      </c>
      <c r="C91" s="34" t="str">
        <f t="shared" si="4"/>
        <v>0098</v>
      </c>
      <c r="E91" s="1" t="s">
        <v>132</v>
      </c>
      <c r="F91" s="6" t="s">
        <v>325</v>
      </c>
      <c r="G91" s="1" t="s">
        <v>231</v>
      </c>
      <c r="H91" s="13" t="s">
        <v>238</v>
      </c>
      <c r="I91" s="5"/>
    </row>
    <row r="92" spans="1:9">
      <c r="A92" s="33" t="s">
        <v>98</v>
      </c>
      <c r="B92" s="34">
        <f t="shared" si="3"/>
        <v>153</v>
      </c>
      <c r="C92" s="34" t="str">
        <f t="shared" si="4"/>
        <v>0099</v>
      </c>
      <c r="E92" s="1" t="s">
        <v>132</v>
      </c>
      <c r="F92" s="6" t="s">
        <v>326</v>
      </c>
      <c r="G92" s="1" t="s">
        <v>231</v>
      </c>
      <c r="H92" s="13" t="s">
        <v>232</v>
      </c>
      <c r="I92" s="5"/>
    </row>
    <row r="93" spans="1:9">
      <c r="A93" s="33" t="s">
        <v>327</v>
      </c>
      <c r="B93" s="34">
        <f t="shared" si="3"/>
        <v>154</v>
      </c>
      <c r="C93" s="34" t="str">
        <f t="shared" si="4"/>
        <v>009A</v>
      </c>
      <c r="E93" s="1" t="s">
        <v>132</v>
      </c>
      <c r="F93" s="6" t="s">
        <v>328</v>
      </c>
      <c r="G93" s="1" t="s">
        <v>231</v>
      </c>
      <c r="H93" s="13" t="s">
        <v>234</v>
      </c>
      <c r="I93" s="5"/>
    </row>
    <row r="94" spans="1:9">
      <c r="A94" s="33" t="s">
        <v>329</v>
      </c>
      <c r="B94" s="34">
        <f t="shared" si="3"/>
        <v>155</v>
      </c>
      <c r="C94" s="34" t="str">
        <f t="shared" si="4"/>
        <v>009B</v>
      </c>
      <c r="E94" s="1" t="s">
        <v>132</v>
      </c>
      <c r="F94" s="6" t="s">
        <v>330</v>
      </c>
      <c r="G94" s="1" t="s">
        <v>231</v>
      </c>
      <c r="H94" s="13" t="s">
        <v>238</v>
      </c>
      <c r="I94" s="5"/>
    </row>
    <row r="95" s="70" customFormat="1" spans="1:9">
      <c r="A95" s="65" t="s">
        <v>331</v>
      </c>
      <c r="B95" s="66">
        <f t="shared" si="3"/>
        <v>156</v>
      </c>
      <c r="C95" s="66" t="str">
        <f t="shared" si="4"/>
        <v>009C</v>
      </c>
      <c r="E95" s="63" t="s">
        <v>132</v>
      </c>
      <c r="F95" s="64" t="s">
        <v>332</v>
      </c>
      <c r="G95" s="63" t="s">
        <v>114</v>
      </c>
      <c r="H95" s="62" t="s">
        <v>333</v>
      </c>
      <c r="I95" s="62"/>
    </row>
    <row r="96" s="70" customFormat="1" spans="1:9">
      <c r="A96" s="65" t="s">
        <v>334</v>
      </c>
      <c r="B96" s="66">
        <f t="shared" si="3"/>
        <v>157</v>
      </c>
      <c r="C96" s="66" t="str">
        <f t="shared" si="4"/>
        <v>009D</v>
      </c>
      <c r="E96" s="63" t="s">
        <v>132</v>
      </c>
      <c r="F96" s="64" t="s">
        <v>335</v>
      </c>
      <c r="G96" s="63" t="s">
        <v>114</v>
      </c>
      <c r="H96" s="62" t="s">
        <v>333</v>
      </c>
      <c r="I96" s="62"/>
    </row>
    <row r="97" spans="1:9">
      <c r="A97" s="33" t="s">
        <v>336</v>
      </c>
      <c r="B97" s="34">
        <f t="shared" si="3"/>
        <v>158</v>
      </c>
      <c r="C97" s="34" t="str">
        <f t="shared" si="4"/>
        <v>009E</v>
      </c>
      <c r="E97" s="5"/>
      <c r="F97" s="5"/>
      <c r="G97" s="5"/>
      <c r="H97" s="5"/>
      <c r="I97" s="5"/>
    </row>
    <row r="98" spans="1:9">
      <c r="A98" s="33" t="s">
        <v>337</v>
      </c>
      <c r="B98" s="34">
        <f t="shared" si="3"/>
        <v>159</v>
      </c>
      <c r="C98" s="34" t="str">
        <f t="shared" si="4"/>
        <v>009F</v>
      </c>
      <c r="E98" s="5"/>
      <c r="F98" s="5"/>
      <c r="G98" s="5"/>
      <c r="H98" s="5"/>
      <c r="I98" s="5"/>
    </row>
    <row r="99" spans="1:9">
      <c r="A99" s="33"/>
      <c r="B99" s="34"/>
      <c r="C99" s="34"/>
      <c r="E99" s="5"/>
      <c r="F99" s="5"/>
      <c r="G99" s="5"/>
      <c r="H99" s="5"/>
      <c r="I99" s="5"/>
    </row>
    <row r="100" spans="1:9">
      <c r="A100" s="33"/>
      <c r="B100" s="34"/>
      <c r="C100" s="34"/>
      <c r="E100" s="5"/>
      <c r="F100" s="5"/>
      <c r="G100" s="5"/>
      <c r="H100" s="5"/>
      <c r="I100" s="5"/>
    </row>
    <row r="101" spans="1:9">
      <c r="A101" s="33"/>
      <c r="B101" s="34"/>
      <c r="C101" s="34"/>
      <c r="E101" s="5"/>
      <c r="F101" s="5"/>
      <c r="G101" s="5"/>
      <c r="H101" s="5"/>
      <c r="I101" s="5"/>
    </row>
    <row r="102" spans="1:9">
      <c r="A102" s="33"/>
      <c r="B102" s="34"/>
      <c r="C102" s="34"/>
      <c r="E102" s="5"/>
      <c r="F102" s="5"/>
      <c r="G102" s="5"/>
      <c r="H102" s="5"/>
      <c r="I102" s="5"/>
    </row>
    <row r="103" spans="1:9">
      <c r="A103" s="33"/>
      <c r="B103" s="34"/>
      <c r="C103" s="34"/>
      <c r="E103" s="5"/>
      <c r="F103" s="5"/>
      <c r="G103" s="5"/>
      <c r="H103" s="5"/>
      <c r="I103" s="5"/>
    </row>
    <row r="104" spans="1:9">
      <c r="A104" s="33"/>
      <c r="B104" s="34"/>
      <c r="C104" s="34"/>
      <c r="E104" s="5"/>
      <c r="F104" s="5"/>
      <c r="G104" s="5"/>
      <c r="H104" s="5"/>
      <c r="I104" s="5"/>
    </row>
    <row r="105" spans="1:3">
      <c r="A105" s="33"/>
      <c r="B105" s="34"/>
      <c r="C105" s="34"/>
    </row>
    <row r="106" spans="1:3">
      <c r="A106" s="33"/>
      <c r="B106" s="34"/>
      <c r="C106" s="34"/>
    </row>
    <row r="107" spans="1:3">
      <c r="A107" s="33"/>
      <c r="B107" s="34"/>
      <c r="C107" s="34"/>
    </row>
    <row r="108" spans="1:3">
      <c r="A108" s="33"/>
      <c r="B108" s="34"/>
      <c r="C108" s="34"/>
    </row>
    <row r="109" spans="1:3">
      <c r="A109" s="33"/>
      <c r="B109" s="34"/>
      <c r="C109" s="34"/>
    </row>
    <row r="110" spans="1:3">
      <c r="A110" s="33"/>
      <c r="B110" s="34"/>
      <c r="C110" s="34"/>
    </row>
    <row r="111" spans="1:3">
      <c r="A111" s="33"/>
      <c r="B111" s="34"/>
      <c r="C111" s="34"/>
    </row>
    <row r="112" spans="1:3">
      <c r="A112" s="33"/>
      <c r="B112" s="34"/>
      <c r="C112" s="34"/>
    </row>
    <row r="113" spans="1:3">
      <c r="A113" s="33"/>
      <c r="B113" s="34"/>
      <c r="C113" s="34"/>
    </row>
    <row r="114" spans="1:3">
      <c r="A114" s="33"/>
      <c r="B114" s="34"/>
      <c r="C114" s="34"/>
    </row>
    <row r="115" spans="1:3">
      <c r="A115" s="33"/>
      <c r="B115" s="34"/>
      <c r="C115" s="34"/>
    </row>
    <row r="116" spans="1:3">
      <c r="A116" s="33"/>
      <c r="B116" s="34"/>
      <c r="C116" s="34"/>
    </row>
    <row r="117" spans="1:3">
      <c r="A117" s="33"/>
      <c r="B117" s="34"/>
      <c r="C117" s="34"/>
    </row>
    <row r="118" spans="1:3">
      <c r="A118" s="33"/>
      <c r="B118" s="34"/>
      <c r="C118" s="34"/>
    </row>
    <row r="119" spans="1:3">
      <c r="A119" s="33"/>
      <c r="B119" s="34"/>
      <c r="C119" s="34"/>
    </row>
    <row r="120" spans="1:3">
      <c r="A120" s="33"/>
      <c r="B120" s="34"/>
      <c r="C120" s="34"/>
    </row>
    <row r="121" spans="1:3">
      <c r="A121" s="33"/>
      <c r="B121" s="34"/>
      <c r="C121" s="34"/>
    </row>
    <row r="122" spans="1:3">
      <c r="A122" s="33"/>
      <c r="B122" s="34"/>
      <c r="C122" s="34"/>
    </row>
    <row r="123" spans="1:3">
      <c r="A123" s="33"/>
      <c r="B123" s="34"/>
      <c r="C123" s="34"/>
    </row>
    <row r="124" spans="1:3">
      <c r="A124" s="33"/>
      <c r="B124" s="34"/>
      <c r="C124" s="34"/>
    </row>
    <row r="125" spans="1:3">
      <c r="A125" s="33"/>
      <c r="B125" s="34"/>
      <c r="C125" s="34"/>
    </row>
    <row r="126" spans="1:3">
      <c r="A126" s="33"/>
      <c r="B126" s="34"/>
      <c r="C126" s="34"/>
    </row>
    <row r="127" spans="1:3">
      <c r="A127" s="33"/>
      <c r="B127" s="34"/>
      <c r="C127" s="34"/>
    </row>
    <row r="128" spans="1:3">
      <c r="A128" s="33"/>
      <c r="B128" s="34"/>
      <c r="C128" s="34"/>
    </row>
    <row r="129" spans="1:3">
      <c r="A129" s="33"/>
      <c r="B129" s="34"/>
      <c r="C129" s="34"/>
    </row>
    <row r="130" spans="1:3">
      <c r="A130" s="33"/>
      <c r="B130" s="34"/>
      <c r="C130" s="34"/>
    </row>
    <row r="131" spans="1:3">
      <c r="A131" s="33"/>
      <c r="B131" s="34"/>
      <c r="C131" s="34"/>
    </row>
    <row r="132" spans="1:3">
      <c r="A132" s="33"/>
      <c r="B132" s="34"/>
      <c r="C132" s="34"/>
    </row>
    <row r="133" spans="1:3">
      <c r="A133" s="33"/>
      <c r="B133" s="34"/>
      <c r="C133" s="34"/>
    </row>
    <row r="134" spans="1:3">
      <c r="A134" s="33"/>
      <c r="B134" s="34"/>
      <c r="C134" s="34"/>
    </row>
    <row r="135" spans="1:3">
      <c r="A135" s="33"/>
      <c r="B135" s="34"/>
      <c r="C135" s="34"/>
    </row>
    <row r="136" spans="1:3">
      <c r="A136" s="33"/>
      <c r="B136" s="34"/>
      <c r="C136" s="34"/>
    </row>
    <row r="137" spans="1:3">
      <c r="A137" s="33"/>
      <c r="B137" s="34"/>
      <c r="C137" s="34"/>
    </row>
    <row r="138" spans="1:3">
      <c r="A138" s="33"/>
      <c r="B138" s="34"/>
      <c r="C138" s="34"/>
    </row>
    <row r="139" spans="1:3">
      <c r="A139" s="33"/>
      <c r="B139" s="34"/>
      <c r="C139" s="34"/>
    </row>
    <row r="140" spans="1:3">
      <c r="A140" s="33"/>
      <c r="B140" s="34"/>
      <c r="C140" s="34"/>
    </row>
    <row r="141" spans="1:3">
      <c r="A141" s="33"/>
      <c r="B141" s="34"/>
      <c r="C141" s="34"/>
    </row>
    <row r="142" spans="1:3">
      <c r="A142" s="33"/>
      <c r="B142" s="34"/>
      <c r="C142" s="34"/>
    </row>
    <row r="143" spans="1:3">
      <c r="A143" s="33"/>
      <c r="B143" s="34"/>
      <c r="C143" s="34"/>
    </row>
    <row r="144" spans="1:3">
      <c r="A144" s="33"/>
      <c r="B144" s="34"/>
      <c r="C144" s="34"/>
    </row>
    <row r="145" spans="1:3">
      <c r="A145" s="33"/>
      <c r="B145" s="34"/>
      <c r="C145" s="34"/>
    </row>
    <row r="146" spans="1:3">
      <c r="A146" s="33"/>
      <c r="B146" s="34"/>
      <c r="C146" s="34"/>
    </row>
    <row r="147" spans="1:3">
      <c r="A147" s="33"/>
      <c r="B147" s="34"/>
      <c r="C147" s="34"/>
    </row>
    <row r="148" spans="1:3">
      <c r="A148" s="33"/>
      <c r="B148" s="34"/>
      <c r="C148" s="34"/>
    </row>
    <row r="149" spans="1:3">
      <c r="A149" s="33"/>
      <c r="B149" s="34"/>
      <c r="C149" s="34"/>
    </row>
    <row r="150" spans="1:3">
      <c r="A150" s="33"/>
      <c r="B150" s="34"/>
      <c r="C150" s="34"/>
    </row>
    <row r="151" spans="1:3">
      <c r="A151" s="33"/>
      <c r="B151" s="34"/>
      <c r="C151" s="34"/>
    </row>
    <row r="152" spans="1:3">
      <c r="A152" s="33"/>
      <c r="B152" s="34"/>
      <c r="C152" s="34"/>
    </row>
    <row r="153" spans="1:3">
      <c r="A153" s="33"/>
      <c r="B153" s="34"/>
      <c r="C153" s="34"/>
    </row>
    <row r="154" spans="1:3">
      <c r="A154" s="33"/>
      <c r="B154" s="34"/>
      <c r="C154" s="34"/>
    </row>
    <row r="155" spans="1:3">
      <c r="A155" s="33"/>
      <c r="B155" s="34"/>
      <c r="C155" s="34"/>
    </row>
    <row r="156" spans="1:3">
      <c r="A156" s="33"/>
      <c r="B156" s="34"/>
      <c r="C156" s="34"/>
    </row>
    <row r="157" spans="1:3">
      <c r="A157" s="33"/>
      <c r="B157" s="34"/>
      <c r="C157" s="34"/>
    </row>
    <row r="158" spans="1:3">
      <c r="A158" s="33"/>
      <c r="B158" s="34"/>
      <c r="C158" s="34"/>
    </row>
    <row r="159" spans="1:3">
      <c r="A159" s="33"/>
      <c r="B159" s="34"/>
      <c r="C159" s="34"/>
    </row>
    <row r="160" spans="1:3">
      <c r="A160" s="33"/>
      <c r="B160" s="34"/>
      <c r="C160" s="34"/>
    </row>
    <row r="161" spans="1:3">
      <c r="A161" s="33"/>
      <c r="B161" s="34"/>
      <c r="C161" s="34"/>
    </row>
    <row r="162" spans="1:3">
      <c r="A162" s="33"/>
      <c r="B162" s="34"/>
      <c r="C162" s="34"/>
    </row>
    <row r="163" spans="1:3">
      <c r="A163" s="33"/>
      <c r="B163" s="34"/>
      <c r="C163" s="34"/>
    </row>
    <row r="164" spans="1:3">
      <c r="A164" s="33"/>
      <c r="B164" s="34"/>
      <c r="C164" s="34"/>
    </row>
    <row r="165" spans="1:3">
      <c r="A165" s="33"/>
      <c r="B165" s="34"/>
      <c r="C165" s="34"/>
    </row>
    <row r="166" spans="1:3">
      <c r="A166" s="33"/>
      <c r="B166" s="34"/>
      <c r="C166" s="34"/>
    </row>
    <row r="167" spans="1:3">
      <c r="A167" s="33"/>
      <c r="B167" s="34"/>
      <c r="C167" s="34"/>
    </row>
    <row r="168" spans="1:3">
      <c r="A168" s="33"/>
      <c r="B168" s="34"/>
      <c r="C168" s="34"/>
    </row>
    <row r="169" spans="1:3">
      <c r="A169" s="33"/>
      <c r="B169" s="34"/>
      <c r="C169" s="34"/>
    </row>
    <row r="170" spans="1:3">
      <c r="A170" s="33"/>
      <c r="B170" s="34"/>
      <c r="C170" s="34"/>
    </row>
    <row r="171" spans="1:3">
      <c r="A171" s="33"/>
      <c r="B171" s="34"/>
      <c r="C171" s="34"/>
    </row>
    <row r="172" spans="1:3">
      <c r="A172" s="33"/>
      <c r="B172" s="34"/>
      <c r="C172" s="34"/>
    </row>
    <row r="173" spans="1:3">
      <c r="A173" s="33"/>
      <c r="B173" s="34"/>
      <c r="C173" s="34"/>
    </row>
    <row r="174" spans="1:3">
      <c r="A174" s="33"/>
      <c r="B174" s="34"/>
      <c r="C174" s="34"/>
    </row>
    <row r="175" spans="1:3">
      <c r="A175" s="33"/>
      <c r="B175" s="34"/>
      <c r="C175" s="34"/>
    </row>
    <row r="176" spans="1:3">
      <c r="A176" s="33"/>
      <c r="B176" s="34"/>
      <c r="C176" s="34"/>
    </row>
    <row r="177" spans="1:3">
      <c r="A177" s="33"/>
      <c r="B177" s="34"/>
      <c r="C177" s="34"/>
    </row>
    <row r="178" spans="1:3">
      <c r="A178" s="33"/>
      <c r="B178" s="34"/>
      <c r="C178" s="34"/>
    </row>
    <row r="179" spans="1:3">
      <c r="A179" s="33"/>
      <c r="B179" s="34"/>
      <c r="C179" s="34"/>
    </row>
    <row r="180" spans="1:3">
      <c r="A180" s="33"/>
      <c r="B180" s="34"/>
      <c r="C180" s="34"/>
    </row>
    <row r="181" spans="1:3">
      <c r="A181" s="33"/>
      <c r="B181" s="34"/>
      <c r="C181" s="34"/>
    </row>
    <row r="182" spans="1:3">
      <c r="A182" s="33"/>
      <c r="B182" s="34"/>
      <c r="C182" s="34"/>
    </row>
    <row r="183" spans="1:3">
      <c r="A183" s="33"/>
      <c r="B183" s="34"/>
      <c r="C183" s="34"/>
    </row>
    <row r="184" spans="1:3">
      <c r="A184" s="33"/>
      <c r="B184" s="34"/>
      <c r="C184" s="34"/>
    </row>
    <row r="185" spans="1:3">
      <c r="A185" s="33"/>
      <c r="B185" s="34"/>
      <c r="C185" s="34"/>
    </row>
    <row r="186" spans="1:3">
      <c r="A186" s="33"/>
      <c r="B186" s="34"/>
      <c r="C186" s="34"/>
    </row>
    <row r="187" spans="1:3">
      <c r="A187" s="33"/>
      <c r="B187" s="34"/>
      <c r="C187" s="34"/>
    </row>
    <row r="188" spans="1:3">
      <c r="A188" s="33"/>
      <c r="B188" s="34"/>
      <c r="C188" s="34"/>
    </row>
    <row r="189" spans="1:3">
      <c r="A189" s="33"/>
      <c r="B189" s="34"/>
      <c r="C189" s="34"/>
    </row>
    <row r="190" spans="1:3">
      <c r="A190" s="33"/>
      <c r="B190" s="34"/>
      <c r="C190" s="34"/>
    </row>
    <row r="191" spans="1:3">
      <c r="A191" s="33"/>
      <c r="B191" s="34"/>
      <c r="C191" s="34"/>
    </row>
    <row r="192" spans="1:3">
      <c r="A192" s="33"/>
      <c r="B192" s="34"/>
      <c r="C192" s="34"/>
    </row>
    <row r="193" spans="1:3">
      <c r="A193" s="33"/>
      <c r="B193" s="34"/>
      <c r="C193" s="34"/>
    </row>
    <row r="194" spans="1:3">
      <c r="A194" s="33"/>
      <c r="B194" s="34"/>
      <c r="C194" s="34"/>
    </row>
    <row r="195" spans="1:3">
      <c r="A195" s="33"/>
      <c r="B195" s="34"/>
      <c r="C195" s="34"/>
    </row>
    <row r="196" spans="1:3">
      <c r="A196" s="33"/>
      <c r="B196" s="34"/>
      <c r="C196" s="34"/>
    </row>
    <row r="197" spans="1:3">
      <c r="A197" s="33"/>
      <c r="B197" s="34"/>
      <c r="C197" s="34"/>
    </row>
    <row r="198" spans="1:3">
      <c r="A198" s="33"/>
      <c r="B198" s="34"/>
      <c r="C198" s="34"/>
    </row>
    <row r="199" spans="1:3">
      <c r="A199" s="33"/>
      <c r="B199" s="34"/>
      <c r="C199" s="34"/>
    </row>
    <row r="200" spans="1:3">
      <c r="A200" s="33"/>
      <c r="B200" s="34"/>
      <c r="C200" s="34"/>
    </row>
    <row r="201" spans="1:3">
      <c r="A201" s="33"/>
      <c r="B201" s="34"/>
      <c r="C201" s="34"/>
    </row>
    <row r="202" spans="1:3">
      <c r="A202" s="33"/>
      <c r="B202" s="34"/>
      <c r="C202" s="34"/>
    </row>
    <row r="203" spans="1:3">
      <c r="A203" s="33"/>
      <c r="B203" s="34"/>
      <c r="C203" s="34"/>
    </row>
    <row r="204" spans="1:3">
      <c r="A204" s="33"/>
      <c r="B204" s="34"/>
      <c r="C204" s="34"/>
    </row>
    <row r="205" spans="1:3">
      <c r="A205" s="33"/>
      <c r="B205" s="34"/>
      <c r="C205" s="34"/>
    </row>
    <row r="206" spans="1:3">
      <c r="A206" s="33"/>
      <c r="B206" s="34"/>
      <c r="C206" s="34"/>
    </row>
    <row r="207" spans="1:3">
      <c r="A207" s="33"/>
      <c r="B207" s="34"/>
      <c r="C207" s="34"/>
    </row>
    <row r="208" spans="1:3">
      <c r="A208" s="33"/>
      <c r="B208" s="34"/>
      <c r="C208" s="34"/>
    </row>
    <row r="209" spans="1:3">
      <c r="A209" s="33"/>
      <c r="B209" s="34"/>
      <c r="C209" s="34"/>
    </row>
    <row r="210" spans="1:3">
      <c r="A210" s="33"/>
      <c r="B210" s="34"/>
      <c r="C210" s="34"/>
    </row>
    <row r="211" spans="1:3">
      <c r="A211" s="33"/>
      <c r="B211" s="34"/>
      <c r="C211" s="34"/>
    </row>
    <row r="212" spans="1:3">
      <c r="A212" s="33"/>
      <c r="B212" s="34"/>
      <c r="C212" s="34"/>
    </row>
    <row r="213" spans="1:3">
      <c r="A213" s="33"/>
      <c r="B213" s="34"/>
      <c r="C213" s="34"/>
    </row>
    <row r="214" spans="1:3">
      <c r="A214" s="33"/>
      <c r="B214" s="34"/>
      <c r="C214" s="34"/>
    </row>
    <row r="215" spans="1:3">
      <c r="A215" s="33"/>
      <c r="B215" s="34"/>
      <c r="C215" s="34"/>
    </row>
    <row r="216" spans="1:3">
      <c r="A216" s="33"/>
      <c r="B216" s="34"/>
      <c r="C216" s="34"/>
    </row>
    <row r="217" spans="1:3">
      <c r="A217" s="33"/>
      <c r="B217" s="34"/>
      <c r="C217" s="34"/>
    </row>
    <row r="218" spans="1:3">
      <c r="A218" s="33"/>
      <c r="B218" s="34"/>
      <c r="C218" s="34"/>
    </row>
    <row r="219" spans="1:3">
      <c r="A219" s="33"/>
      <c r="B219" s="34"/>
      <c r="C219" s="34"/>
    </row>
    <row r="220" spans="1:3">
      <c r="A220" s="33"/>
      <c r="B220" s="34"/>
      <c r="C220" s="34"/>
    </row>
    <row r="221" spans="1:3">
      <c r="A221" s="33"/>
      <c r="B221" s="34"/>
      <c r="C221" s="34"/>
    </row>
    <row r="222" spans="1:3">
      <c r="A222" s="33"/>
      <c r="B222" s="34"/>
      <c r="C222" s="34"/>
    </row>
    <row r="223" spans="1:3">
      <c r="A223" s="33"/>
      <c r="B223" s="34"/>
      <c r="C223" s="34"/>
    </row>
    <row r="224" spans="1:3">
      <c r="A224" s="33"/>
      <c r="B224" s="34"/>
      <c r="C224" s="34"/>
    </row>
    <row r="225" spans="1:3">
      <c r="A225" s="33"/>
      <c r="B225" s="34"/>
      <c r="C225" s="34"/>
    </row>
    <row r="226" spans="1:3">
      <c r="A226" s="33"/>
      <c r="B226" s="34"/>
      <c r="C226" s="34"/>
    </row>
    <row r="227" spans="1:3">
      <c r="A227" s="33"/>
      <c r="B227" s="34"/>
      <c r="C227" s="34"/>
    </row>
    <row r="228" spans="1:3">
      <c r="A228" s="33"/>
      <c r="B228" s="34"/>
      <c r="C228" s="34"/>
    </row>
    <row r="229" spans="1:3">
      <c r="A229" s="33"/>
      <c r="B229" s="34"/>
      <c r="C229" s="34"/>
    </row>
    <row r="230" spans="1:3">
      <c r="A230" s="33"/>
      <c r="B230" s="34"/>
      <c r="C230" s="34"/>
    </row>
    <row r="231" spans="1:3">
      <c r="A231" s="33"/>
      <c r="B231" s="34"/>
      <c r="C231" s="34"/>
    </row>
    <row r="232" spans="1:3">
      <c r="A232" s="33"/>
      <c r="B232" s="34"/>
      <c r="C232" s="34"/>
    </row>
    <row r="233" spans="1:3">
      <c r="A233" s="33"/>
      <c r="B233" s="34"/>
      <c r="C233" s="34"/>
    </row>
    <row r="234" spans="1:3">
      <c r="A234" s="33"/>
      <c r="B234" s="34"/>
      <c r="C234" s="34"/>
    </row>
    <row r="235" spans="1:3">
      <c r="A235" s="33"/>
      <c r="B235" s="34"/>
      <c r="C235" s="34"/>
    </row>
    <row r="236" spans="1:3">
      <c r="A236" s="33"/>
      <c r="B236" s="34"/>
      <c r="C236" s="34"/>
    </row>
    <row r="237" spans="1:3">
      <c r="A237" s="33"/>
      <c r="B237" s="34"/>
      <c r="C237" s="34"/>
    </row>
    <row r="238" spans="1:3">
      <c r="A238" s="33"/>
      <c r="B238" s="34"/>
      <c r="C238" s="34"/>
    </row>
    <row r="239" spans="1:3">
      <c r="A239" s="33"/>
      <c r="B239" s="34"/>
      <c r="C239" s="34"/>
    </row>
    <row r="240" spans="1:3">
      <c r="A240" s="33"/>
      <c r="B240" s="34"/>
      <c r="C240" s="34"/>
    </row>
    <row r="241" spans="1:3">
      <c r="A241" s="33"/>
      <c r="B241" s="34"/>
      <c r="C241" s="34"/>
    </row>
    <row r="242" spans="1:3">
      <c r="A242" s="33"/>
      <c r="B242" s="34"/>
      <c r="C242" s="34"/>
    </row>
    <row r="243" spans="1:3">
      <c r="A243" s="33"/>
      <c r="B243" s="34"/>
      <c r="C243" s="34"/>
    </row>
    <row r="244" spans="1:3">
      <c r="A244" s="33"/>
      <c r="B244" s="34"/>
      <c r="C244" s="34"/>
    </row>
    <row r="245" spans="1:3">
      <c r="A245" s="33"/>
      <c r="B245" s="34"/>
      <c r="C245" s="34"/>
    </row>
    <row r="246" spans="1:3">
      <c r="A246" s="33"/>
      <c r="B246" s="34"/>
      <c r="C246" s="34"/>
    </row>
    <row r="247" spans="1:3">
      <c r="A247" s="33"/>
      <c r="B247" s="34"/>
      <c r="C247" s="34"/>
    </row>
    <row r="248" spans="1:3">
      <c r="A248" s="33"/>
      <c r="B248" s="34"/>
      <c r="C248" s="34"/>
    </row>
    <row r="249" spans="1:3">
      <c r="A249" s="33"/>
      <c r="B249" s="34"/>
      <c r="C249" s="34"/>
    </row>
    <row r="250" spans="1:3">
      <c r="A250" s="33"/>
      <c r="B250" s="34"/>
      <c r="C250" s="34"/>
    </row>
    <row r="251" spans="1:3">
      <c r="A251" s="33"/>
      <c r="B251" s="34"/>
      <c r="C251" s="34"/>
    </row>
    <row r="252" spans="1:3">
      <c r="A252" s="33"/>
      <c r="B252" s="34"/>
      <c r="C252" s="34"/>
    </row>
    <row r="253" spans="1:3">
      <c r="A253" s="33"/>
      <c r="B253" s="34"/>
      <c r="C253" s="34"/>
    </row>
    <row r="254" spans="1:3">
      <c r="A254" s="33"/>
      <c r="B254" s="34"/>
      <c r="C254" s="34"/>
    </row>
    <row r="255" spans="1:3">
      <c r="A255" s="33"/>
      <c r="B255" s="34"/>
      <c r="C255" s="34"/>
    </row>
    <row r="256" spans="1:3">
      <c r="A256" s="33"/>
      <c r="B256" s="34"/>
      <c r="C256" s="34"/>
    </row>
    <row r="257" spans="1:3">
      <c r="A257" s="33"/>
      <c r="B257" s="34"/>
      <c r="C257" s="34"/>
    </row>
    <row r="258" spans="1:3">
      <c r="A258" s="33"/>
      <c r="B258" s="34"/>
      <c r="C258" s="34"/>
    </row>
    <row r="259" spans="1:3">
      <c r="A259" s="33"/>
      <c r="B259" s="34"/>
      <c r="C259" s="34"/>
    </row>
    <row r="260" spans="1:3">
      <c r="A260" s="33"/>
      <c r="B260" s="34"/>
      <c r="C260" s="34"/>
    </row>
    <row r="261" spans="1:3">
      <c r="A261" s="33"/>
      <c r="B261" s="34"/>
      <c r="C261" s="34"/>
    </row>
    <row r="262" spans="1:3">
      <c r="A262" s="33"/>
      <c r="B262" s="34"/>
      <c r="C262" s="34"/>
    </row>
    <row r="263" spans="1:3">
      <c r="A263" s="33"/>
      <c r="B263" s="34"/>
      <c r="C263" s="34"/>
    </row>
    <row r="264" spans="1:3">
      <c r="A264" s="33"/>
      <c r="B264" s="34"/>
      <c r="C264" s="34"/>
    </row>
    <row r="265" spans="1:3">
      <c r="A265" s="33"/>
      <c r="B265" s="34"/>
      <c r="C265" s="34"/>
    </row>
    <row r="266" spans="1:3">
      <c r="A266" s="33"/>
      <c r="B266" s="34"/>
      <c r="C266" s="34"/>
    </row>
    <row r="267" spans="1:3">
      <c r="A267" s="33"/>
      <c r="B267" s="34"/>
      <c r="C267" s="34"/>
    </row>
    <row r="268" spans="1:3">
      <c r="A268" s="33"/>
      <c r="B268" s="34"/>
      <c r="C268" s="34"/>
    </row>
    <row r="269" spans="1:3">
      <c r="A269" s="33"/>
      <c r="B269" s="34"/>
      <c r="C269" s="34"/>
    </row>
    <row r="270" spans="1:3">
      <c r="A270" s="33"/>
      <c r="B270" s="34"/>
      <c r="C270" s="34"/>
    </row>
    <row r="271" spans="1:3">
      <c r="A271" s="33"/>
      <c r="B271" s="34"/>
      <c r="C271" s="34"/>
    </row>
    <row r="272" spans="1:3">
      <c r="A272" s="33"/>
      <c r="B272" s="34"/>
      <c r="C272" s="34"/>
    </row>
    <row r="273" spans="1:3">
      <c r="A273" s="33"/>
      <c r="B273" s="34"/>
      <c r="C273" s="34"/>
    </row>
    <row r="274" spans="1:3">
      <c r="A274" s="33"/>
      <c r="B274" s="34"/>
      <c r="C274" s="34"/>
    </row>
    <row r="275" spans="1:3">
      <c r="A275" s="33"/>
      <c r="B275" s="34"/>
      <c r="C275" s="34"/>
    </row>
    <row r="276" spans="1:3">
      <c r="A276" s="33"/>
      <c r="B276" s="34"/>
      <c r="C276" s="34"/>
    </row>
    <row r="277" spans="1:3">
      <c r="A277" s="33"/>
      <c r="B277" s="34"/>
      <c r="C277" s="34"/>
    </row>
    <row r="278" spans="1:3">
      <c r="A278" s="33"/>
      <c r="B278" s="34"/>
      <c r="C278" s="34"/>
    </row>
    <row r="279" spans="1:3">
      <c r="A279" s="33"/>
      <c r="B279" s="34"/>
      <c r="C279" s="34"/>
    </row>
    <row r="280" spans="1:3">
      <c r="A280" s="33"/>
      <c r="B280" s="34"/>
      <c r="C280" s="34"/>
    </row>
    <row r="281" spans="1:3">
      <c r="A281" s="33"/>
      <c r="B281" s="34"/>
      <c r="C281" s="34"/>
    </row>
    <row r="282" spans="1:3">
      <c r="A282" s="33"/>
      <c r="B282" s="34"/>
      <c r="C282" s="34"/>
    </row>
    <row r="283" spans="1:3">
      <c r="A283" s="33"/>
      <c r="B283" s="34"/>
      <c r="C283" s="34"/>
    </row>
    <row r="284" spans="1:3">
      <c r="A284" s="33"/>
      <c r="B284" s="34"/>
      <c r="C284" s="34"/>
    </row>
    <row r="285" spans="1:3">
      <c r="A285" s="33"/>
      <c r="B285" s="34"/>
      <c r="C285" s="34"/>
    </row>
    <row r="286" spans="1:3">
      <c r="A286" s="33"/>
      <c r="B286" s="34"/>
      <c r="C286" s="34"/>
    </row>
    <row r="287" spans="1:3">
      <c r="A287" s="33"/>
      <c r="B287" s="34"/>
      <c r="C287" s="34"/>
    </row>
    <row r="288" spans="1:3">
      <c r="A288" s="33"/>
      <c r="B288" s="34"/>
      <c r="C288" s="34"/>
    </row>
    <row r="289" spans="1:3">
      <c r="A289" s="33"/>
      <c r="B289" s="34"/>
      <c r="C289" s="34"/>
    </row>
    <row r="290" spans="1:3">
      <c r="A290" s="33"/>
      <c r="B290" s="34"/>
      <c r="C290" s="34"/>
    </row>
    <row r="291" spans="1:3">
      <c r="A291" s="33"/>
      <c r="B291" s="34"/>
      <c r="C291" s="34"/>
    </row>
    <row r="292" spans="1:3">
      <c r="A292" s="33"/>
      <c r="B292" s="34"/>
      <c r="C292" s="34"/>
    </row>
    <row r="293" spans="1:3">
      <c r="A293" s="33"/>
      <c r="B293" s="34"/>
      <c r="C293" s="34"/>
    </row>
    <row r="294" spans="1:3">
      <c r="A294" s="33"/>
      <c r="B294" s="34"/>
      <c r="C294" s="34"/>
    </row>
    <row r="295" spans="1:3">
      <c r="A295" s="33"/>
      <c r="B295" s="34"/>
      <c r="C295" s="34"/>
    </row>
    <row r="296" spans="1:3">
      <c r="A296" s="33"/>
      <c r="B296" s="34"/>
      <c r="C296" s="34"/>
    </row>
    <row r="297" spans="1:3">
      <c r="A297" s="33"/>
      <c r="B297" s="34"/>
      <c r="C297" s="34"/>
    </row>
    <row r="298" spans="1:3">
      <c r="A298" s="33"/>
      <c r="B298" s="34"/>
      <c r="C298" s="34"/>
    </row>
    <row r="299" spans="1:3">
      <c r="A299" s="33"/>
      <c r="B299" s="34"/>
      <c r="C299" s="34"/>
    </row>
    <row r="300" spans="1:3">
      <c r="A300" s="33"/>
      <c r="B300" s="34"/>
      <c r="C300" s="34"/>
    </row>
    <row r="301" spans="1:3">
      <c r="A301" s="33"/>
      <c r="B301" s="34"/>
      <c r="C301" s="34"/>
    </row>
    <row r="302" spans="1:3">
      <c r="A302" s="33"/>
      <c r="B302" s="34"/>
      <c r="C302" s="34"/>
    </row>
    <row r="303" spans="1:3">
      <c r="A303" s="33"/>
      <c r="B303" s="34"/>
      <c r="C303" s="34"/>
    </row>
    <row r="304" spans="1:3">
      <c r="A304" s="33"/>
      <c r="B304" s="34"/>
      <c r="C304" s="34"/>
    </row>
    <row r="305" spans="1:3">
      <c r="A305" s="33"/>
      <c r="B305" s="34"/>
      <c r="C305" s="34"/>
    </row>
    <row r="306" spans="1:3">
      <c r="A306" s="33"/>
      <c r="B306" s="34"/>
      <c r="C306" s="34"/>
    </row>
    <row r="307" spans="1:3">
      <c r="A307" s="33"/>
      <c r="B307" s="34"/>
      <c r="C307" s="34"/>
    </row>
    <row r="308" spans="1:3">
      <c r="A308" s="33"/>
      <c r="B308" s="34"/>
      <c r="C308" s="34"/>
    </row>
    <row r="309" spans="1:3">
      <c r="A309" s="33"/>
      <c r="B309" s="34"/>
      <c r="C309" s="34"/>
    </row>
    <row r="310" spans="1:3">
      <c r="A310" s="33"/>
      <c r="B310" s="34"/>
      <c r="C310" s="34"/>
    </row>
    <row r="311" spans="1:3">
      <c r="A311" s="33"/>
      <c r="B311" s="34"/>
      <c r="C311" s="34"/>
    </row>
    <row r="312" spans="1:3">
      <c r="A312" s="33"/>
      <c r="B312" s="34"/>
      <c r="C312" s="34"/>
    </row>
    <row r="313" spans="1:3">
      <c r="A313" s="33"/>
      <c r="B313" s="34"/>
      <c r="C313" s="34"/>
    </row>
    <row r="314" spans="1:3">
      <c r="A314" s="33"/>
      <c r="B314" s="34"/>
      <c r="C314" s="34"/>
    </row>
    <row r="315" spans="1:3">
      <c r="A315" s="33"/>
      <c r="B315" s="34"/>
      <c r="C315" s="34"/>
    </row>
    <row r="316" spans="1:3">
      <c r="A316" s="33"/>
      <c r="B316" s="34"/>
      <c r="C316" s="34"/>
    </row>
    <row r="317" spans="1:3">
      <c r="A317" s="33"/>
      <c r="B317" s="34"/>
      <c r="C317" s="34"/>
    </row>
    <row r="318" spans="1:3">
      <c r="A318" s="33"/>
      <c r="B318" s="34"/>
      <c r="C318" s="34"/>
    </row>
    <row r="319" spans="1:3">
      <c r="A319" s="33"/>
      <c r="B319" s="34"/>
      <c r="C319" s="34"/>
    </row>
    <row r="320" spans="1:3">
      <c r="A320" s="33"/>
      <c r="B320" s="34"/>
      <c r="C320" s="34"/>
    </row>
    <row r="321" spans="1:3">
      <c r="A321" s="33"/>
      <c r="B321" s="34"/>
      <c r="C321" s="34"/>
    </row>
    <row r="322" spans="1:3">
      <c r="A322" s="33"/>
      <c r="B322" s="34"/>
      <c r="C322" s="34"/>
    </row>
    <row r="323" spans="1:3">
      <c r="A323" s="33"/>
      <c r="B323" s="34"/>
      <c r="C323" s="34"/>
    </row>
    <row r="324" spans="1:3">
      <c r="A324" s="33"/>
      <c r="B324" s="34"/>
      <c r="C324" s="34"/>
    </row>
    <row r="325" spans="1:3">
      <c r="A325" s="33"/>
      <c r="B325" s="34"/>
      <c r="C325" s="34"/>
    </row>
    <row r="326" spans="1:3">
      <c r="A326" s="33"/>
      <c r="B326" s="34"/>
      <c r="C326" s="34"/>
    </row>
    <row r="327" spans="1:3">
      <c r="A327" s="33"/>
      <c r="B327" s="34"/>
      <c r="C327" s="34"/>
    </row>
    <row r="328" spans="1:3">
      <c r="A328" s="33"/>
      <c r="B328" s="34"/>
      <c r="C328" s="34"/>
    </row>
    <row r="329" spans="1:3">
      <c r="A329" s="33"/>
      <c r="B329" s="34"/>
      <c r="C329" s="34"/>
    </row>
    <row r="330" spans="1:3">
      <c r="A330" s="33"/>
      <c r="B330" s="34"/>
      <c r="C330" s="34"/>
    </row>
    <row r="331" spans="1:3">
      <c r="A331" s="33"/>
      <c r="B331" s="34"/>
      <c r="C331" s="34"/>
    </row>
    <row r="332" spans="1:3">
      <c r="A332" s="33"/>
      <c r="B332" s="34"/>
      <c r="C332" s="34"/>
    </row>
    <row r="333" spans="1:3">
      <c r="A333" s="33"/>
      <c r="B333" s="34"/>
      <c r="C333" s="34"/>
    </row>
    <row r="334" spans="1:3">
      <c r="A334" s="33"/>
      <c r="B334" s="34"/>
      <c r="C334" s="34"/>
    </row>
    <row r="335" spans="1:3">
      <c r="A335" s="33"/>
      <c r="B335" s="34"/>
      <c r="C335" s="34"/>
    </row>
    <row r="336" spans="1:3">
      <c r="A336" s="33"/>
      <c r="B336" s="34"/>
      <c r="C336" s="34"/>
    </row>
    <row r="337" spans="1:3">
      <c r="A337" s="33"/>
      <c r="B337" s="34"/>
      <c r="C337" s="34"/>
    </row>
    <row r="338" spans="1:3">
      <c r="A338" s="33"/>
      <c r="B338" s="34"/>
      <c r="C338" s="34"/>
    </row>
    <row r="339" spans="1:3">
      <c r="A339" s="33"/>
      <c r="B339" s="34"/>
      <c r="C339" s="34"/>
    </row>
    <row r="340" spans="1:3">
      <c r="A340" s="33"/>
      <c r="B340" s="34"/>
      <c r="C340" s="34"/>
    </row>
    <row r="341" spans="1:3">
      <c r="A341" s="33"/>
      <c r="B341" s="34"/>
      <c r="C341" s="34"/>
    </row>
    <row r="342" spans="1:3">
      <c r="A342" s="33"/>
      <c r="B342" s="34"/>
      <c r="C342" s="34"/>
    </row>
    <row r="343" spans="1:3">
      <c r="A343" s="33"/>
      <c r="B343" s="34"/>
      <c r="C343" s="34"/>
    </row>
    <row r="344" spans="1:3">
      <c r="A344" s="33"/>
      <c r="B344" s="34"/>
      <c r="C344" s="34"/>
    </row>
    <row r="345" spans="1:3">
      <c r="A345" s="33"/>
      <c r="B345" s="34"/>
      <c r="C345" s="34"/>
    </row>
    <row r="346" spans="1:3">
      <c r="A346" s="33"/>
      <c r="B346" s="34"/>
      <c r="C346" s="34"/>
    </row>
    <row r="347" spans="1:3">
      <c r="A347" s="33"/>
      <c r="B347" s="34"/>
      <c r="C347" s="34"/>
    </row>
    <row r="348" spans="1:3">
      <c r="A348" s="33"/>
      <c r="B348" s="34"/>
      <c r="C348" s="34"/>
    </row>
    <row r="349" spans="1:3">
      <c r="A349" s="33"/>
      <c r="B349" s="34"/>
      <c r="C349" s="34"/>
    </row>
    <row r="350" spans="1:3">
      <c r="A350" s="33"/>
      <c r="B350" s="34"/>
      <c r="C350" s="34"/>
    </row>
    <row r="351" spans="1:3">
      <c r="A351" s="33"/>
      <c r="B351" s="34"/>
      <c r="C351" s="34"/>
    </row>
    <row r="352" spans="1:3">
      <c r="A352" s="33"/>
      <c r="B352" s="34"/>
      <c r="C352" s="34"/>
    </row>
    <row r="353" spans="1:3">
      <c r="A353" s="33"/>
      <c r="B353" s="34"/>
      <c r="C353" s="34"/>
    </row>
    <row r="354" spans="1:3">
      <c r="A354" s="33"/>
      <c r="B354" s="34"/>
      <c r="C354" s="34"/>
    </row>
    <row r="355" spans="1:3">
      <c r="A355" s="33"/>
      <c r="B355" s="34"/>
      <c r="C355" s="34"/>
    </row>
    <row r="356" spans="1:3">
      <c r="A356" s="33"/>
      <c r="B356" s="34"/>
      <c r="C356" s="34"/>
    </row>
    <row r="357" spans="1:3">
      <c r="A357" s="33"/>
      <c r="B357" s="34"/>
      <c r="C357" s="34"/>
    </row>
    <row r="358" spans="1:3">
      <c r="A358" s="33"/>
      <c r="B358" s="34"/>
      <c r="C358" s="34"/>
    </row>
    <row r="359" spans="1:3">
      <c r="A359" s="33"/>
      <c r="B359" s="34"/>
      <c r="C359" s="34"/>
    </row>
    <row r="360" spans="1:3">
      <c r="A360" s="33"/>
      <c r="B360" s="34"/>
      <c r="C360" s="34"/>
    </row>
    <row r="361" spans="1:3">
      <c r="A361" s="33"/>
      <c r="B361" s="34"/>
      <c r="C361" s="34"/>
    </row>
    <row r="362" spans="1:3">
      <c r="A362" s="33"/>
      <c r="B362" s="34"/>
      <c r="C362" s="34"/>
    </row>
    <row r="363" spans="1:3">
      <c r="A363" s="33"/>
      <c r="B363" s="34"/>
      <c r="C363" s="34"/>
    </row>
    <row r="364" spans="1:3">
      <c r="A364" s="33"/>
      <c r="B364" s="34"/>
      <c r="C364" s="34"/>
    </row>
    <row r="365" spans="1:3">
      <c r="A365" s="33"/>
      <c r="B365" s="34"/>
      <c r="C365" s="34"/>
    </row>
    <row r="366" spans="1:3">
      <c r="A366" s="33"/>
      <c r="B366" s="34"/>
      <c r="C366" s="34"/>
    </row>
    <row r="367" spans="1:3">
      <c r="A367" s="33"/>
      <c r="B367" s="34"/>
      <c r="C367" s="34"/>
    </row>
    <row r="368" spans="1:3">
      <c r="A368" s="33"/>
      <c r="B368" s="34"/>
      <c r="C368" s="34"/>
    </row>
    <row r="369" spans="1:3">
      <c r="A369" s="33"/>
      <c r="B369" s="34"/>
      <c r="C369" s="34"/>
    </row>
    <row r="370" spans="1:3">
      <c r="A370" s="33"/>
      <c r="B370" s="34"/>
      <c r="C370" s="34"/>
    </row>
    <row r="371" spans="1:3">
      <c r="A371" s="33"/>
      <c r="B371" s="34"/>
      <c r="C371" s="34"/>
    </row>
    <row r="372" spans="1:3">
      <c r="A372" s="33"/>
      <c r="B372" s="34"/>
      <c r="C372" s="34"/>
    </row>
    <row r="373" spans="1:3">
      <c r="A373" s="33"/>
      <c r="B373" s="34"/>
      <c r="C373" s="34"/>
    </row>
    <row r="374" spans="1:3">
      <c r="A374" s="33"/>
      <c r="B374" s="34"/>
      <c r="C374" s="34"/>
    </row>
    <row r="375" spans="1:3">
      <c r="A375" s="33"/>
      <c r="B375" s="34"/>
      <c r="C375" s="34"/>
    </row>
    <row r="376" spans="1:3">
      <c r="A376" s="33"/>
      <c r="B376" s="34"/>
      <c r="C376" s="34"/>
    </row>
    <row r="377" spans="1:3">
      <c r="A377" s="33"/>
      <c r="B377" s="34"/>
      <c r="C377" s="34"/>
    </row>
    <row r="378" spans="1:3">
      <c r="A378" s="33"/>
      <c r="B378" s="34"/>
      <c r="C378" s="34"/>
    </row>
    <row r="379" spans="1:3">
      <c r="A379" s="33"/>
      <c r="B379" s="34"/>
      <c r="C379" s="34"/>
    </row>
    <row r="380" spans="1:3">
      <c r="A380" s="33"/>
      <c r="B380" s="34"/>
      <c r="C380" s="34"/>
    </row>
    <row r="381" spans="1:3">
      <c r="A381" s="33"/>
      <c r="B381" s="34"/>
      <c r="C381" s="34"/>
    </row>
    <row r="382" spans="1:3">
      <c r="A382" s="33"/>
      <c r="B382" s="34"/>
      <c r="C382" s="34"/>
    </row>
    <row r="383" spans="1:3">
      <c r="A383" s="33"/>
      <c r="B383" s="34"/>
      <c r="C383" s="34"/>
    </row>
    <row r="384" spans="1:3">
      <c r="A384" s="33"/>
      <c r="B384" s="34"/>
      <c r="C384" s="34"/>
    </row>
    <row r="385" spans="1:3">
      <c r="A385" s="33"/>
      <c r="B385" s="34"/>
      <c r="C385" s="34"/>
    </row>
    <row r="386" spans="1:3">
      <c r="A386" s="33"/>
      <c r="B386" s="34"/>
      <c r="C386" s="34"/>
    </row>
    <row r="387" spans="1:3">
      <c r="A387" s="33"/>
      <c r="B387" s="34"/>
      <c r="C387" s="34"/>
    </row>
    <row r="388" spans="1:3">
      <c r="A388" s="33"/>
      <c r="B388" s="34"/>
      <c r="C388" s="34"/>
    </row>
    <row r="389" spans="1:3">
      <c r="A389" s="33"/>
      <c r="B389" s="34"/>
      <c r="C389" s="34"/>
    </row>
    <row r="390" spans="1:3">
      <c r="A390" s="33"/>
      <c r="B390" s="34"/>
      <c r="C390" s="34"/>
    </row>
    <row r="391" spans="1:3">
      <c r="A391" s="33"/>
      <c r="B391" s="34"/>
      <c r="C391" s="34"/>
    </row>
    <row r="392" spans="1:3">
      <c r="A392" s="33"/>
      <c r="B392" s="34"/>
      <c r="C392" s="34"/>
    </row>
    <row r="393" spans="1:3">
      <c r="A393" s="33"/>
      <c r="B393" s="34"/>
      <c r="C393" s="34"/>
    </row>
    <row r="394" spans="1:3">
      <c r="A394" s="33"/>
      <c r="B394" s="34"/>
      <c r="C394" s="34"/>
    </row>
    <row r="395" spans="1:3">
      <c r="A395" s="33"/>
      <c r="B395" s="34"/>
      <c r="C395" s="34"/>
    </row>
    <row r="396" spans="1:3">
      <c r="A396" s="33"/>
      <c r="B396" s="34"/>
      <c r="C396" s="34"/>
    </row>
    <row r="397" spans="1:3">
      <c r="A397" s="33"/>
      <c r="B397" s="34"/>
      <c r="C397" s="34"/>
    </row>
    <row r="398" spans="1:3">
      <c r="A398" s="33"/>
      <c r="B398" s="34"/>
      <c r="C398" s="34"/>
    </row>
    <row r="399" spans="1:3">
      <c r="A399" s="33"/>
      <c r="B399" s="34"/>
      <c r="C399" s="34"/>
    </row>
    <row r="400" spans="1:3">
      <c r="A400" s="33"/>
      <c r="B400" s="34"/>
      <c r="C400" s="34"/>
    </row>
    <row r="401" spans="1:3">
      <c r="A401" s="33"/>
      <c r="B401" s="34"/>
      <c r="C401" s="34"/>
    </row>
    <row r="402" spans="1:3">
      <c r="A402" s="33"/>
      <c r="B402" s="34"/>
      <c r="C402" s="34"/>
    </row>
    <row r="403" spans="1:3">
      <c r="A403" s="33"/>
      <c r="B403" s="34"/>
      <c r="C403" s="34"/>
    </row>
    <row r="404" spans="1:3">
      <c r="A404" s="33"/>
      <c r="B404" s="34"/>
      <c r="C404" s="34"/>
    </row>
    <row r="405" spans="1:3">
      <c r="A405" s="33"/>
      <c r="B405" s="34"/>
      <c r="C405" s="34"/>
    </row>
    <row r="406" spans="1:3">
      <c r="A406" s="33"/>
      <c r="B406" s="34"/>
      <c r="C406" s="34"/>
    </row>
    <row r="407" spans="1:3">
      <c r="A407" s="33"/>
      <c r="B407" s="34"/>
      <c r="C407" s="34"/>
    </row>
    <row r="408" spans="1:3">
      <c r="A408" s="33"/>
      <c r="B408" s="34"/>
      <c r="C408" s="34"/>
    </row>
    <row r="409" spans="1:3">
      <c r="A409" s="33"/>
      <c r="B409" s="34"/>
      <c r="C409" s="34"/>
    </row>
    <row r="410" spans="1:3">
      <c r="A410" s="33"/>
      <c r="B410" s="34"/>
      <c r="C410" s="34"/>
    </row>
    <row r="411" spans="1:3">
      <c r="A411" s="33"/>
      <c r="B411" s="34"/>
      <c r="C411" s="34"/>
    </row>
    <row r="412" spans="1:3">
      <c r="A412" s="33"/>
      <c r="B412" s="34"/>
      <c r="C412" s="34"/>
    </row>
    <row r="413" spans="1:3">
      <c r="A413" s="33"/>
      <c r="B413" s="34"/>
      <c r="C413" s="34"/>
    </row>
    <row r="414" spans="1:3">
      <c r="A414" s="33"/>
      <c r="B414" s="34"/>
      <c r="C414" s="34"/>
    </row>
    <row r="415" spans="1:3">
      <c r="A415" s="33"/>
      <c r="B415" s="34"/>
      <c r="C415" s="34"/>
    </row>
    <row r="416" spans="1:3">
      <c r="A416" s="33"/>
      <c r="B416" s="34"/>
      <c r="C416" s="34"/>
    </row>
    <row r="417" spans="1:3">
      <c r="A417" s="33"/>
      <c r="B417" s="34"/>
      <c r="C417" s="34"/>
    </row>
    <row r="418" spans="1:3">
      <c r="A418" s="33"/>
      <c r="B418" s="34"/>
      <c r="C418" s="34"/>
    </row>
    <row r="419" spans="1:3">
      <c r="A419" s="33"/>
      <c r="B419" s="34"/>
      <c r="C419" s="34"/>
    </row>
    <row r="420" spans="1:3">
      <c r="A420" s="33"/>
      <c r="B420" s="34"/>
      <c r="C420" s="34"/>
    </row>
    <row r="421" spans="1:3">
      <c r="A421" s="33"/>
      <c r="B421" s="34"/>
      <c r="C421" s="34"/>
    </row>
    <row r="422" spans="1:3">
      <c r="A422" s="33"/>
      <c r="B422" s="34"/>
      <c r="C422" s="34"/>
    </row>
    <row r="423" spans="1:3">
      <c r="A423" s="33"/>
      <c r="B423" s="34"/>
      <c r="C423" s="34"/>
    </row>
    <row r="424" spans="1:3">
      <c r="A424" s="33"/>
      <c r="B424" s="34"/>
      <c r="C424" s="34"/>
    </row>
    <row r="425" spans="1:3">
      <c r="A425" s="33"/>
      <c r="B425" s="34"/>
      <c r="C425" s="34"/>
    </row>
    <row r="426" spans="1:3">
      <c r="A426" s="33"/>
      <c r="B426" s="34"/>
      <c r="C426" s="34"/>
    </row>
    <row r="427" spans="1:3">
      <c r="A427" s="33"/>
      <c r="B427" s="34"/>
      <c r="C427" s="34"/>
    </row>
    <row r="428" spans="1:3">
      <c r="A428" s="33"/>
      <c r="B428" s="34"/>
      <c r="C428" s="34"/>
    </row>
    <row r="429" spans="1:3">
      <c r="A429" s="33"/>
      <c r="B429" s="34"/>
      <c r="C429" s="34"/>
    </row>
    <row r="430" spans="1:3">
      <c r="A430" s="33"/>
      <c r="B430" s="34"/>
      <c r="C430" s="34"/>
    </row>
    <row r="431" spans="1:3">
      <c r="A431" s="33"/>
      <c r="B431" s="34"/>
      <c r="C431" s="34"/>
    </row>
    <row r="432" spans="1:3">
      <c r="A432" s="33"/>
      <c r="B432" s="34"/>
      <c r="C432" s="34"/>
    </row>
    <row r="433" spans="1:3">
      <c r="A433" s="33"/>
      <c r="B433" s="34"/>
      <c r="C433" s="34"/>
    </row>
    <row r="434" spans="1:3">
      <c r="A434" s="33"/>
      <c r="B434" s="34"/>
      <c r="C434" s="34"/>
    </row>
    <row r="435" spans="1:3">
      <c r="A435" s="33"/>
      <c r="B435" s="34"/>
      <c r="C435" s="34"/>
    </row>
    <row r="436" spans="1:3">
      <c r="A436" s="33"/>
      <c r="B436" s="34"/>
      <c r="C436" s="34"/>
    </row>
    <row r="437" spans="1:3">
      <c r="A437" s="33"/>
      <c r="B437" s="34"/>
      <c r="C437" s="34"/>
    </row>
    <row r="438" spans="1:3">
      <c r="A438" s="33"/>
      <c r="B438" s="34"/>
      <c r="C438" s="34"/>
    </row>
    <row r="439" spans="1:3">
      <c r="A439" s="33"/>
      <c r="B439" s="34"/>
      <c r="C439" s="34"/>
    </row>
    <row r="440" spans="1:3">
      <c r="A440" s="33"/>
      <c r="B440" s="34"/>
      <c r="C440" s="34"/>
    </row>
    <row r="441" spans="1:3">
      <c r="A441" s="33"/>
      <c r="B441" s="34"/>
      <c r="C441" s="34"/>
    </row>
    <row r="442" spans="1:3">
      <c r="A442" s="33"/>
      <c r="B442" s="34"/>
      <c r="C442" s="34"/>
    </row>
    <row r="443" spans="1:3">
      <c r="A443" s="33"/>
      <c r="B443" s="34"/>
      <c r="C443" s="34"/>
    </row>
    <row r="444" spans="1:3">
      <c r="A444" s="33"/>
      <c r="B444" s="34"/>
      <c r="C444" s="34"/>
    </row>
    <row r="445" spans="1:3">
      <c r="A445" s="33"/>
      <c r="B445" s="34"/>
      <c r="C445" s="34"/>
    </row>
    <row r="446" spans="1:3">
      <c r="A446" s="33"/>
      <c r="B446" s="34"/>
      <c r="C446" s="34"/>
    </row>
    <row r="447" spans="1:3">
      <c r="A447" s="33"/>
      <c r="B447" s="34"/>
      <c r="C447" s="34"/>
    </row>
    <row r="448" spans="1:3">
      <c r="A448" s="33"/>
      <c r="B448" s="34"/>
      <c r="C448" s="34"/>
    </row>
    <row r="449" spans="1:3">
      <c r="A449" s="33"/>
      <c r="B449" s="34"/>
      <c r="C449" s="34"/>
    </row>
    <row r="450" spans="1:3">
      <c r="A450" s="33"/>
      <c r="B450" s="34"/>
      <c r="C450" s="34"/>
    </row>
    <row r="451" spans="1:3">
      <c r="A451" s="33"/>
      <c r="B451" s="34"/>
      <c r="C451" s="34"/>
    </row>
    <row r="452" spans="1:3">
      <c r="A452" s="33"/>
      <c r="B452" s="34"/>
      <c r="C452" s="34"/>
    </row>
    <row r="453" spans="1:3">
      <c r="A453" s="33"/>
      <c r="B453" s="34"/>
      <c r="C453" s="34"/>
    </row>
    <row r="454" spans="1:3">
      <c r="A454" s="33"/>
      <c r="B454" s="34"/>
      <c r="C454" s="34"/>
    </row>
    <row r="455" spans="1:3">
      <c r="A455" s="33"/>
      <c r="B455" s="34"/>
      <c r="C455" s="34"/>
    </row>
    <row r="456" spans="1:3">
      <c r="A456" s="33"/>
      <c r="B456" s="34"/>
      <c r="C456" s="34"/>
    </row>
    <row r="457" spans="1:3">
      <c r="A457" s="33"/>
      <c r="B457" s="34"/>
      <c r="C457" s="34"/>
    </row>
    <row r="458" spans="1:3">
      <c r="A458" s="33"/>
      <c r="B458" s="34"/>
      <c r="C458" s="34"/>
    </row>
    <row r="459" spans="1:3">
      <c r="A459" s="33"/>
      <c r="B459" s="34"/>
      <c r="C459" s="34"/>
    </row>
    <row r="460" spans="1:3">
      <c r="A460" s="33"/>
      <c r="B460" s="34"/>
      <c r="C460" s="34"/>
    </row>
    <row r="461" spans="1:3">
      <c r="A461" s="33"/>
      <c r="B461" s="34"/>
      <c r="C461" s="34"/>
    </row>
    <row r="462" spans="1:3">
      <c r="A462" s="33"/>
      <c r="B462" s="34"/>
      <c r="C462" s="34"/>
    </row>
    <row r="463" spans="1:3">
      <c r="A463" s="33"/>
      <c r="B463" s="34"/>
      <c r="C463" s="34"/>
    </row>
    <row r="464" spans="1:3">
      <c r="A464" s="33"/>
      <c r="B464" s="34"/>
      <c r="C464" s="34"/>
    </row>
    <row r="465" spans="1:3">
      <c r="A465" s="33"/>
      <c r="B465" s="34"/>
      <c r="C465" s="34"/>
    </row>
    <row r="466" spans="1:3">
      <c r="A466" s="33"/>
      <c r="B466" s="34"/>
      <c r="C466" s="34"/>
    </row>
    <row r="467" spans="1:3">
      <c r="A467" s="33"/>
      <c r="B467" s="34"/>
      <c r="C467" s="34"/>
    </row>
    <row r="468" spans="1:3">
      <c r="A468" s="33"/>
      <c r="B468" s="34"/>
      <c r="C468" s="34"/>
    </row>
    <row r="469" spans="1:3">
      <c r="A469" s="33"/>
      <c r="B469" s="34"/>
      <c r="C469" s="34"/>
    </row>
    <row r="470" spans="1:3">
      <c r="A470" s="33"/>
      <c r="B470" s="34"/>
      <c r="C470" s="34"/>
    </row>
    <row r="471" spans="1:3">
      <c r="A471" s="33"/>
      <c r="B471" s="34"/>
      <c r="C471" s="34"/>
    </row>
    <row r="472" spans="1:3">
      <c r="A472" s="33"/>
      <c r="B472" s="34"/>
      <c r="C472" s="34"/>
    </row>
    <row r="473" spans="1:3">
      <c r="A473" s="33"/>
      <c r="B473" s="34"/>
      <c r="C473" s="34"/>
    </row>
    <row r="474" spans="1:3">
      <c r="A474" s="33"/>
      <c r="B474" s="34"/>
      <c r="C474" s="34"/>
    </row>
    <row r="475" spans="1:3">
      <c r="A475" s="33"/>
      <c r="B475" s="34"/>
      <c r="C475" s="34"/>
    </row>
    <row r="476" spans="1:3">
      <c r="A476" s="33"/>
      <c r="B476" s="34"/>
      <c r="C476" s="34"/>
    </row>
    <row r="477" spans="1:3">
      <c r="A477" s="33"/>
      <c r="B477" s="34"/>
      <c r="C477" s="34"/>
    </row>
    <row r="478" spans="1:3">
      <c r="A478" s="33"/>
      <c r="B478" s="34"/>
      <c r="C478" s="34"/>
    </row>
    <row r="479" spans="1:3">
      <c r="A479" s="33"/>
      <c r="B479" s="34"/>
      <c r="C479" s="34"/>
    </row>
    <row r="480" spans="1:3">
      <c r="A480" s="33"/>
      <c r="B480" s="34"/>
      <c r="C480" s="34"/>
    </row>
    <row r="481" spans="1:3">
      <c r="A481" s="33"/>
      <c r="B481" s="34"/>
      <c r="C481" s="34"/>
    </row>
    <row r="482" spans="1:3">
      <c r="A482" s="33"/>
      <c r="B482" s="34"/>
      <c r="C482" s="34"/>
    </row>
    <row r="483" spans="1:3">
      <c r="A483" s="33"/>
      <c r="B483" s="34"/>
      <c r="C483" s="34"/>
    </row>
    <row r="484" spans="1:3">
      <c r="A484" s="33"/>
      <c r="B484" s="34"/>
      <c r="C484" s="34"/>
    </row>
    <row r="485" spans="1:3">
      <c r="A485" s="33"/>
      <c r="B485" s="34"/>
      <c r="C485" s="34"/>
    </row>
    <row r="486" spans="1:3">
      <c r="A486" s="33"/>
      <c r="B486" s="34"/>
      <c r="C486" s="34"/>
    </row>
    <row r="487" spans="1:3">
      <c r="A487" s="33"/>
      <c r="B487" s="34"/>
      <c r="C487" s="34"/>
    </row>
    <row r="488" spans="1:3">
      <c r="A488" s="33"/>
      <c r="B488" s="34"/>
      <c r="C488" s="34"/>
    </row>
    <row r="489" spans="1:3">
      <c r="A489" s="33"/>
      <c r="B489" s="34"/>
      <c r="C489" s="34"/>
    </row>
    <row r="490" spans="1:3">
      <c r="A490" s="33"/>
      <c r="B490" s="34"/>
      <c r="C490" s="34"/>
    </row>
    <row r="491" spans="1:3">
      <c r="A491" s="33"/>
      <c r="B491" s="34"/>
      <c r="C491" s="34"/>
    </row>
    <row r="492" spans="1:3">
      <c r="A492" s="33"/>
      <c r="B492" s="34"/>
      <c r="C492" s="34"/>
    </row>
    <row r="493" spans="1:3">
      <c r="A493" s="33"/>
      <c r="B493" s="34"/>
      <c r="C493" s="34"/>
    </row>
    <row r="494" spans="1:3">
      <c r="A494" s="33"/>
      <c r="B494" s="34"/>
      <c r="C494" s="34"/>
    </row>
    <row r="495" spans="1:3">
      <c r="A495" s="33"/>
      <c r="B495" s="34"/>
      <c r="C495" s="34"/>
    </row>
    <row r="496" spans="1:3">
      <c r="A496" s="33"/>
      <c r="B496" s="34"/>
      <c r="C496" s="34"/>
    </row>
    <row r="497" spans="1:3">
      <c r="A497" s="33"/>
      <c r="B497" s="34"/>
      <c r="C497" s="34"/>
    </row>
    <row r="498" spans="1:3">
      <c r="A498" s="33"/>
      <c r="B498" s="34"/>
      <c r="C498" s="34"/>
    </row>
    <row r="499" spans="1:3">
      <c r="A499" s="33"/>
      <c r="B499" s="34"/>
      <c r="C499" s="34"/>
    </row>
    <row r="500" spans="1:3">
      <c r="A500" s="33"/>
      <c r="B500" s="34"/>
      <c r="C500" s="34"/>
    </row>
    <row r="501" spans="1:3">
      <c r="A501" s="33"/>
      <c r="B501" s="34"/>
      <c r="C501" s="34"/>
    </row>
    <row r="502" spans="1:3">
      <c r="A502" s="33"/>
      <c r="B502" s="34"/>
      <c r="C502" s="34"/>
    </row>
    <row r="503" spans="1:3">
      <c r="A503" s="33"/>
      <c r="B503" s="34"/>
      <c r="C503" s="34"/>
    </row>
    <row r="504" spans="1:3">
      <c r="A504" s="33"/>
      <c r="B504" s="34"/>
      <c r="C504" s="34"/>
    </row>
    <row r="505" spans="1:3">
      <c r="A505" s="33"/>
      <c r="B505" s="34"/>
      <c r="C505" s="34"/>
    </row>
    <row r="506" spans="1:3">
      <c r="A506" s="33"/>
      <c r="B506" s="34"/>
      <c r="C506" s="34"/>
    </row>
    <row r="507" spans="1:3">
      <c r="A507" s="33"/>
      <c r="B507" s="34"/>
      <c r="C507" s="34"/>
    </row>
    <row r="508" spans="1:3">
      <c r="A508" s="33"/>
      <c r="B508" s="34"/>
      <c r="C508" s="34"/>
    </row>
    <row r="509" spans="1:3">
      <c r="A509" s="33"/>
      <c r="B509" s="34"/>
      <c r="C509" s="34"/>
    </row>
    <row r="510" spans="1:3">
      <c r="A510" s="33"/>
      <c r="B510" s="34"/>
      <c r="C510" s="34"/>
    </row>
    <row r="511" spans="1:3">
      <c r="A511" s="33"/>
      <c r="B511" s="34"/>
      <c r="C511" s="34"/>
    </row>
    <row r="512" spans="1:3">
      <c r="A512" s="33"/>
      <c r="B512" s="34"/>
      <c r="C512" s="34"/>
    </row>
    <row r="513" spans="1:3">
      <c r="A513" s="33"/>
      <c r="B513" s="34"/>
      <c r="C513" s="34"/>
    </row>
    <row r="514" spans="1:3">
      <c r="A514" s="33"/>
      <c r="B514" s="34"/>
      <c r="C514" s="34"/>
    </row>
    <row r="515" spans="1:1">
      <c r="A515" s="33"/>
    </row>
    <row r="516" spans="1:1">
      <c r="A516" s="33"/>
    </row>
    <row r="517" spans="1:1">
      <c r="A517" s="33"/>
    </row>
    <row r="518" spans="1:1">
      <c r="A518" s="33"/>
    </row>
    <row r="519" spans="1:1">
      <c r="A519" s="33"/>
    </row>
    <row r="520" spans="1:1">
      <c r="A520" s="33"/>
    </row>
    <row r="521" spans="1:1">
      <c r="A521" s="33"/>
    </row>
    <row r="522" spans="1:1">
      <c r="A522" s="33"/>
    </row>
    <row r="523" spans="1:1">
      <c r="A523" s="33"/>
    </row>
    <row r="524" spans="1:1">
      <c r="A524" s="33"/>
    </row>
    <row r="525" spans="1:1">
      <c r="A525" s="33"/>
    </row>
    <row r="526" spans="1:1">
      <c r="A526" s="33"/>
    </row>
    <row r="527" spans="1:1">
      <c r="A527" s="33"/>
    </row>
    <row r="528" spans="1:1">
      <c r="A528" s="33"/>
    </row>
    <row r="529" spans="1:1">
      <c r="A529" s="33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4"/>
  <dimension ref="A1:K24"/>
  <sheetViews>
    <sheetView topLeftCell="C1" workbookViewId="0">
      <selection activeCell="G4" sqref="G4"/>
    </sheetView>
  </sheetViews>
  <sheetFormatPr defaultColWidth="8.73636363636364" defaultRowHeight="14"/>
  <cols>
    <col min="1" max="1" width="5.55454545454545" customWidth="1"/>
    <col min="2" max="2" width="14" customWidth="1"/>
    <col min="3" max="3" width="5.55454545454545" customWidth="1"/>
    <col min="4" max="4" width="7.55454545454545" customWidth="1"/>
    <col min="5" max="5" width="5.55454545454545" customWidth="1"/>
    <col min="6" max="7" width="21.9090909090909" customWidth="1"/>
    <col min="8" max="8" width="7.55454545454545" customWidth="1"/>
    <col min="9" max="9" width="32.4454545454545" customWidth="1"/>
    <col min="10" max="11" width="7.55454545454545" customWidth="1"/>
  </cols>
  <sheetData>
    <row r="1" spans="1:11">
      <c r="A1" s="33" t="s">
        <v>99</v>
      </c>
      <c r="B1" s="33" t="s">
        <v>100</v>
      </c>
      <c r="C1" s="33" t="s">
        <v>101</v>
      </c>
      <c r="D1" s="33" t="s">
        <v>102</v>
      </c>
      <c r="E1" s="33" t="s">
        <v>103</v>
      </c>
      <c r="F1" s="33" t="s">
        <v>104</v>
      </c>
      <c r="G1" s="33" t="s">
        <v>105</v>
      </c>
      <c r="H1" s="33" t="s">
        <v>106</v>
      </c>
      <c r="I1" s="33" t="s">
        <v>107</v>
      </c>
      <c r="J1" s="33" t="s">
        <v>108</v>
      </c>
      <c r="K1" s="33" t="s">
        <v>109</v>
      </c>
    </row>
    <row r="2" s="33" customFormat="1" spans="2:8">
      <c r="B2" s="33">
        <f>HEX2DEC(C2)</f>
        <v>320</v>
      </c>
      <c r="C2" s="33" t="s">
        <v>338</v>
      </c>
      <c r="E2" s="33" t="s">
        <v>132</v>
      </c>
      <c r="F2" s="33" t="s">
        <v>339</v>
      </c>
      <c r="H2" s="35"/>
    </row>
    <row r="3" s="1" customFormat="1" ht="42" spans="1:9">
      <c r="A3" s="1">
        <v>1</v>
      </c>
      <c r="B3" s="6">
        <f>$B$2+A3-1</f>
        <v>320</v>
      </c>
      <c r="C3" s="6" t="str">
        <f t="shared" ref="C3:C8" si="0">DEC2HEX(B3,4)</f>
        <v>0140</v>
      </c>
      <c r="E3" s="1" t="s">
        <v>132</v>
      </c>
      <c r="F3" s="1" t="s">
        <v>340</v>
      </c>
      <c r="G3" s="1" t="s">
        <v>114</v>
      </c>
      <c r="H3" s="13"/>
      <c r="I3" s="68" t="s">
        <v>341</v>
      </c>
    </row>
    <row r="4" s="33" customFormat="1" ht="70" spans="1:9">
      <c r="A4" s="33">
        <v>2</v>
      </c>
      <c r="B4" s="34">
        <f>$B$2+A4-1</f>
        <v>321</v>
      </c>
      <c r="C4" s="34" t="str">
        <f t="shared" si="0"/>
        <v>0141</v>
      </c>
      <c r="E4" s="33" t="s">
        <v>132</v>
      </c>
      <c r="F4" s="33" t="s">
        <v>342</v>
      </c>
      <c r="G4" s="33" t="s">
        <v>114</v>
      </c>
      <c r="H4" s="35"/>
      <c r="I4" s="68" t="s">
        <v>343</v>
      </c>
    </row>
    <row r="5" s="1" customFormat="1" ht="56" spans="1:9">
      <c r="A5" s="1">
        <v>3</v>
      </c>
      <c r="B5" s="6">
        <f>$B$2+A5-1</f>
        <v>322</v>
      </c>
      <c r="C5" s="6" t="str">
        <f t="shared" si="0"/>
        <v>0142</v>
      </c>
      <c r="E5" s="1" t="s">
        <v>132</v>
      </c>
      <c r="F5" s="1" t="s">
        <v>344</v>
      </c>
      <c r="G5" s="1" t="s">
        <v>114</v>
      </c>
      <c r="H5" s="13"/>
      <c r="I5" s="68" t="s">
        <v>345</v>
      </c>
    </row>
    <row r="6" s="1" customFormat="1" ht="42" spans="1:9">
      <c r="A6" s="1">
        <v>4</v>
      </c>
      <c r="B6" s="6">
        <f>$B$2+A6-1</f>
        <v>323</v>
      </c>
      <c r="C6" s="6" t="str">
        <f t="shared" si="0"/>
        <v>0143</v>
      </c>
      <c r="E6" s="1" t="s">
        <v>132</v>
      </c>
      <c r="F6" s="1" t="s">
        <v>346</v>
      </c>
      <c r="G6" s="1" t="s">
        <v>114</v>
      </c>
      <c r="H6" s="13"/>
      <c r="I6" s="68" t="s">
        <v>347</v>
      </c>
    </row>
    <row r="7" s="33" customFormat="1" ht="154" spans="1:9">
      <c r="A7" s="33" t="s">
        <v>117</v>
      </c>
      <c r="B7" s="34">
        <f>$B$2+A7-1</f>
        <v>324</v>
      </c>
      <c r="C7" s="34" t="str">
        <f t="shared" si="0"/>
        <v>0144</v>
      </c>
      <c r="E7" s="33" t="s">
        <v>132</v>
      </c>
      <c r="F7" s="33" t="s">
        <v>218</v>
      </c>
      <c r="G7" s="33" t="s">
        <v>114</v>
      </c>
      <c r="H7" s="35"/>
      <c r="I7" s="36" t="s">
        <v>348</v>
      </c>
    </row>
    <row r="8" s="33" customFormat="1" spans="1:9">
      <c r="A8" s="33">
        <v>6</v>
      </c>
      <c r="B8" s="34">
        <f>$B$2+A8-1</f>
        <v>325</v>
      </c>
      <c r="C8" s="34" t="str">
        <f t="shared" si="0"/>
        <v>0145</v>
      </c>
      <c r="F8" s="1"/>
      <c r="G8" s="1"/>
      <c r="H8" s="35"/>
      <c r="I8" s="35"/>
    </row>
    <row r="9" s="33" customFormat="1" spans="1:9">
      <c r="A9" s="33" t="s">
        <v>119</v>
      </c>
      <c r="B9" s="34">
        <f t="shared" ref="B9:B18" si="1">$B$2+A9-1</f>
        <v>326</v>
      </c>
      <c r="C9" s="34" t="str">
        <f t="shared" ref="C9:C18" si="2">DEC2HEX(B9,4)</f>
        <v>0146</v>
      </c>
      <c r="H9" s="35"/>
      <c r="I9" s="35"/>
    </row>
    <row r="10" s="33" customFormat="1" spans="1:9">
      <c r="A10" s="33" t="s">
        <v>120</v>
      </c>
      <c r="B10" s="34">
        <f t="shared" si="1"/>
        <v>327</v>
      </c>
      <c r="C10" s="34" t="str">
        <f t="shared" si="2"/>
        <v>0147</v>
      </c>
      <c r="H10" s="35"/>
      <c r="I10" s="35"/>
    </row>
    <row r="11" s="33" customFormat="1" spans="1:9">
      <c r="A11" s="33" t="s">
        <v>121</v>
      </c>
      <c r="B11" s="34">
        <f t="shared" si="1"/>
        <v>328</v>
      </c>
      <c r="C11" s="34" t="str">
        <f t="shared" si="2"/>
        <v>0148</v>
      </c>
      <c r="H11" s="35"/>
      <c r="I11" s="35"/>
    </row>
    <row r="12" s="33" customFormat="1" spans="1:9">
      <c r="A12" s="33" t="s">
        <v>91</v>
      </c>
      <c r="B12" s="34">
        <f t="shared" si="1"/>
        <v>329</v>
      </c>
      <c r="C12" s="34" t="str">
        <f t="shared" si="2"/>
        <v>0149</v>
      </c>
      <c r="H12" s="35"/>
      <c r="I12" s="35"/>
    </row>
    <row r="13" s="33" customFormat="1" spans="1:9">
      <c r="A13" s="33" t="s">
        <v>122</v>
      </c>
      <c r="B13" s="34">
        <f t="shared" si="1"/>
        <v>330</v>
      </c>
      <c r="C13" s="34" t="str">
        <f t="shared" si="2"/>
        <v>014A</v>
      </c>
      <c r="H13" s="35"/>
      <c r="I13" s="35"/>
    </row>
    <row r="14" s="33" customFormat="1" spans="1:9">
      <c r="A14" s="33" t="s">
        <v>124</v>
      </c>
      <c r="B14" s="34">
        <f t="shared" si="1"/>
        <v>331</v>
      </c>
      <c r="C14" s="34" t="str">
        <f t="shared" si="2"/>
        <v>014B</v>
      </c>
      <c r="H14" s="35"/>
      <c r="I14" s="35"/>
    </row>
    <row r="15" s="33" customFormat="1" spans="1:9">
      <c r="A15" s="33" t="s">
        <v>125</v>
      </c>
      <c r="B15" s="34">
        <f t="shared" si="1"/>
        <v>332</v>
      </c>
      <c r="C15" s="34" t="str">
        <f t="shared" si="2"/>
        <v>014C</v>
      </c>
      <c r="H15" s="35"/>
      <c r="I15" s="35"/>
    </row>
    <row r="16" s="33" customFormat="1" spans="1:9">
      <c r="A16" s="33" t="s">
        <v>126</v>
      </c>
      <c r="B16" s="34">
        <f t="shared" si="1"/>
        <v>333</v>
      </c>
      <c r="C16" s="34" t="str">
        <f t="shared" si="2"/>
        <v>014D</v>
      </c>
      <c r="H16" s="35"/>
      <c r="I16" s="35"/>
    </row>
    <row r="17" s="33" customFormat="1" spans="1:9">
      <c r="A17" s="33" t="s">
        <v>127</v>
      </c>
      <c r="B17" s="34">
        <f t="shared" si="1"/>
        <v>334</v>
      </c>
      <c r="C17" s="34" t="str">
        <f t="shared" si="2"/>
        <v>014E</v>
      </c>
      <c r="H17" s="35"/>
      <c r="I17" s="35"/>
    </row>
    <row r="18" s="33" customFormat="1" spans="1:9">
      <c r="A18" s="33" t="s">
        <v>128</v>
      </c>
      <c r="B18" s="34">
        <f t="shared" si="1"/>
        <v>335</v>
      </c>
      <c r="C18" s="34" t="str">
        <f t="shared" si="2"/>
        <v>014F</v>
      </c>
      <c r="H18" s="35"/>
      <c r="I18" s="35"/>
    </row>
    <row r="19" s="33" customFormat="1" spans="2:9">
      <c r="B19" s="34"/>
      <c r="C19" s="34"/>
      <c r="H19" s="35"/>
      <c r="I19" s="35"/>
    </row>
    <row r="20" s="33" customFormat="1" spans="2:9">
      <c r="B20" s="34"/>
      <c r="C20" s="34"/>
      <c r="H20" s="35"/>
      <c r="I20" s="35"/>
    </row>
    <row r="21" s="33" customFormat="1" spans="2:9">
      <c r="B21" s="34"/>
      <c r="C21" s="34"/>
      <c r="H21" s="35"/>
      <c r="I21" s="35"/>
    </row>
    <row r="22" s="33" customFormat="1" spans="2:9">
      <c r="B22" s="34"/>
      <c r="C22" s="34"/>
      <c r="H22" s="35"/>
      <c r="I22" s="35"/>
    </row>
    <row r="23" s="33" customFormat="1" spans="2:9">
      <c r="B23" s="34"/>
      <c r="C23" s="34"/>
      <c r="H23" s="35"/>
      <c r="I23" s="35"/>
    </row>
    <row r="24" s="33" customFormat="1" spans="2:9">
      <c r="B24" s="34"/>
      <c r="C24" s="34"/>
      <c r="H24" s="35"/>
      <c r="I24" s="35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6"/>
  <dimension ref="A1:M66"/>
  <sheetViews>
    <sheetView workbookViewId="0">
      <selection activeCell="K13" sqref="K13"/>
    </sheetView>
  </sheetViews>
  <sheetFormatPr defaultColWidth="8.73636363636364" defaultRowHeight="14"/>
  <cols>
    <col min="1" max="1" width="5.55454545454545" customWidth="1"/>
    <col min="2" max="2" width="14" customWidth="1"/>
    <col min="3" max="3" width="5.55454545454545" customWidth="1"/>
    <col min="4" max="4" width="7.55454545454545" customWidth="1"/>
    <col min="5" max="5" width="5.55454545454545" customWidth="1"/>
    <col min="6" max="6" width="25.3545454545455" customWidth="1"/>
    <col min="7" max="7" width="20.8181818181818" customWidth="1"/>
    <col min="8" max="8" width="5.55454545454545" style="34" customWidth="1"/>
    <col min="9" max="9" width="19.6454545454545" customWidth="1"/>
    <col min="10" max="10" width="7.55454545454545" customWidth="1"/>
    <col min="11" max="11" width="20.8181818181818" customWidth="1"/>
  </cols>
  <sheetData>
    <row r="1" spans="1:11">
      <c r="A1" s="33" t="s">
        <v>99</v>
      </c>
      <c r="B1" s="33" t="s">
        <v>100</v>
      </c>
      <c r="C1" s="33" t="s">
        <v>101</v>
      </c>
      <c r="D1" s="33" t="s">
        <v>102</v>
      </c>
      <c r="E1" s="33" t="s">
        <v>103</v>
      </c>
      <c r="F1" s="33" t="s">
        <v>104</v>
      </c>
      <c r="G1" s="33" t="s">
        <v>105</v>
      </c>
      <c r="H1" s="33" t="s">
        <v>106</v>
      </c>
      <c r="I1" s="33" t="s">
        <v>107</v>
      </c>
      <c r="J1" s="33" t="s">
        <v>108</v>
      </c>
      <c r="K1" s="33" t="s">
        <v>109</v>
      </c>
    </row>
    <row r="2" s="33" customFormat="1" spans="2:9">
      <c r="B2" s="33">
        <f>HEX2DEC(C2)</f>
        <v>336</v>
      </c>
      <c r="C2" s="33" t="s">
        <v>349</v>
      </c>
      <c r="F2" s="33" t="s">
        <v>350</v>
      </c>
      <c r="I2" s="35"/>
    </row>
    <row r="3" s="33" customFormat="1" ht="70" spans="1:9">
      <c r="A3" s="33">
        <v>1</v>
      </c>
      <c r="B3" s="34">
        <f>$B$2+A3-1</f>
        <v>336</v>
      </c>
      <c r="C3" s="34" t="str">
        <f>DEC2HEX(B3,4)</f>
        <v>0150</v>
      </c>
      <c r="E3" t="s">
        <v>132</v>
      </c>
      <c r="F3" s="33" t="s">
        <v>351</v>
      </c>
      <c r="G3" s="33" t="s">
        <v>114</v>
      </c>
      <c r="I3" s="36" t="s">
        <v>352</v>
      </c>
    </row>
    <row r="4" s="33" customFormat="1" spans="1:9">
      <c r="A4" s="33">
        <v>2</v>
      </c>
      <c r="B4" s="34">
        <f t="shared" ref="B4:B25" si="0">$B$2+A4-1</f>
        <v>337</v>
      </c>
      <c r="C4" s="34" t="str">
        <f t="shared" ref="C4:C26" si="1">DEC2HEX(B4,4)</f>
        <v>0151</v>
      </c>
      <c r="E4" t="s">
        <v>132</v>
      </c>
      <c r="F4" s="1"/>
      <c r="G4" s="1"/>
      <c r="H4" s="1"/>
      <c r="I4" s="13"/>
    </row>
    <row r="5" s="33" customFormat="1" spans="1:9">
      <c r="A5" s="33">
        <v>3</v>
      </c>
      <c r="B5" s="34">
        <f t="shared" si="0"/>
        <v>338</v>
      </c>
      <c r="C5" s="34" t="str">
        <f t="shared" si="1"/>
        <v>0152</v>
      </c>
      <c r="E5" t="s">
        <v>132</v>
      </c>
      <c r="F5" s="33" t="s">
        <v>353</v>
      </c>
      <c r="G5" s="33" t="s">
        <v>231</v>
      </c>
      <c r="H5" s="33" t="s">
        <v>354</v>
      </c>
      <c r="I5" s="35"/>
    </row>
    <row r="6" s="33" customFormat="1" spans="1:9">
      <c r="A6" s="33">
        <v>4</v>
      </c>
      <c r="B6" s="34">
        <f t="shared" si="0"/>
        <v>339</v>
      </c>
      <c r="C6" s="34" t="str">
        <f t="shared" si="1"/>
        <v>0153</v>
      </c>
      <c r="E6" t="s">
        <v>132</v>
      </c>
      <c r="I6" s="35"/>
    </row>
    <row r="7" s="1" customFormat="1" spans="1:9">
      <c r="A7" s="1">
        <v>5</v>
      </c>
      <c r="B7" s="6">
        <f t="shared" si="0"/>
        <v>340</v>
      </c>
      <c r="C7" s="6" t="str">
        <f t="shared" si="1"/>
        <v>0154</v>
      </c>
      <c r="E7" s="5" t="s">
        <v>132</v>
      </c>
      <c r="F7" s="1" t="s">
        <v>355</v>
      </c>
      <c r="G7" s="1" t="s">
        <v>231</v>
      </c>
      <c r="H7" s="1" t="s">
        <v>232</v>
      </c>
      <c r="I7" s="13"/>
    </row>
    <row r="8" s="33" customFormat="1" spans="1:9">
      <c r="A8" s="33">
        <v>6</v>
      </c>
      <c r="B8" s="34">
        <f t="shared" si="0"/>
        <v>341</v>
      </c>
      <c r="C8" s="34" t="str">
        <f t="shared" si="1"/>
        <v>0155</v>
      </c>
      <c r="E8" t="s">
        <v>132</v>
      </c>
      <c r="F8" s="33" t="s">
        <v>279</v>
      </c>
      <c r="G8" s="33" t="s">
        <v>231</v>
      </c>
      <c r="H8" s="33" t="s">
        <v>232</v>
      </c>
      <c r="I8" s="35"/>
    </row>
    <row r="9" s="33" customFormat="1" spans="1:9">
      <c r="A9" s="33">
        <v>7</v>
      </c>
      <c r="B9" s="34">
        <f t="shared" si="0"/>
        <v>342</v>
      </c>
      <c r="C9" s="34" t="str">
        <f t="shared" si="1"/>
        <v>0156</v>
      </c>
      <c r="E9" t="s">
        <v>132</v>
      </c>
      <c r="F9" s="1" t="s">
        <v>356</v>
      </c>
      <c r="G9" s="1" t="s">
        <v>231</v>
      </c>
      <c r="H9" s="1" t="s">
        <v>282</v>
      </c>
      <c r="I9" s="35"/>
    </row>
    <row r="10" s="33" customFormat="1" spans="1:9">
      <c r="A10" s="33">
        <v>8</v>
      </c>
      <c r="B10" s="34">
        <f t="shared" si="0"/>
        <v>343</v>
      </c>
      <c r="C10" s="34" t="str">
        <f t="shared" si="1"/>
        <v>0157</v>
      </c>
      <c r="E10" t="s">
        <v>132</v>
      </c>
      <c r="F10" s="33" t="s">
        <v>357</v>
      </c>
      <c r="G10" s="33" t="s">
        <v>231</v>
      </c>
      <c r="H10" s="1" t="s">
        <v>282</v>
      </c>
      <c r="I10" s="35"/>
    </row>
    <row r="11" s="33" customFormat="1" spans="1:8">
      <c r="A11" s="33">
        <v>9</v>
      </c>
      <c r="B11" s="34">
        <f t="shared" si="0"/>
        <v>344</v>
      </c>
      <c r="C11" s="34" t="str">
        <f t="shared" si="1"/>
        <v>0158</v>
      </c>
      <c r="E11" t="s">
        <v>132</v>
      </c>
      <c r="F11" s="33" t="s">
        <v>358</v>
      </c>
      <c r="G11" s="33" t="s">
        <v>231</v>
      </c>
      <c r="H11" s="33" t="s">
        <v>232</v>
      </c>
    </row>
    <row r="12" s="33" customFormat="1" spans="1:9">
      <c r="A12" s="33">
        <v>10</v>
      </c>
      <c r="B12" s="34">
        <f t="shared" si="0"/>
        <v>345</v>
      </c>
      <c r="C12" s="34" t="str">
        <f t="shared" si="1"/>
        <v>0159</v>
      </c>
      <c r="E12" t="s">
        <v>132</v>
      </c>
      <c r="F12" s="33" t="s">
        <v>359</v>
      </c>
      <c r="G12" s="33" t="s">
        <v>231</v>
      </c>
      <c r="H12" s="33" t="s">
        <v>232</v>
      </c>
      <c r="I12" s="35"/>
    </row>
    <row r="13" s="33" customFormat="1" spans="1:9">
      <c r="A13" s="33">
        <v>11</v>
      </c>
      <c r="B13" s="34">
        <f t="shared" si="0"/>
        <v>346</v>
      </c>
      <c r="C13" s="34" t="str">
        <f t="shared" si="1"/>
        <v>015A</v>
      </c>
      <c r="E13" s="5"/>
      <c r="F13" s="1"/>
      <c r="G13" s="1"/>
      <c r="H13" s="1"/>
      <c r="I13" s="35"/>
    </row>
    <row r="14" s="33" customFormat="1" spans="1:10">
      <c r="A14" s="33">
        <v>12</v>
      </c>
      <c r="B14" s="34">
        <f t="shared" si="0"/>
        <v>347</v>
      </c>
      <c r="C14" s="34" t="str">
        <f t="shared" si="1"/>
        <v>015B</v>
      </c>
      <c r="D14" s="1"/>
      <c r="E14" s="5"/>
      <c r="F14" s="1"/>
      <c r="G14" s="1"/>
      <c r="H14" s="1"/>
      <c r="I14" s="13"/>
      <c r="J14" s="1"/>
    </row>
    <row r="15" s="33" customFormat="1" spans="1:10">
      <c r="A15" s="33">
        <v>13</v>
      </c>
      <c r="B15" s="34">
        <f t="shared" si="0"/>
        <v>348</v>
      </c>
      <c r="C15" s="34" t="str">
        <f t="shared" si="1"/>
        <v>015C</v>
      </c>
      <c r="D15" s="1"/>
      <c r="E15" s="5" t="s">
        <v>132</v>
      </c>
      <c r="F15" s="1" t="s">
        <v>360</v>
      </c>
      <c r="G15" s="1" t="s">
        <v>231</v>
      </c>
      <c r="H15" s="1" t="s">
        <v>232</v>
      </c>
      <c r="I15" s="1"/>
      <c r="J15" s="1"/>
    </row>
    <row r="16" s="33" customFormat="1" spans="1:10">
      <c r="A16" s="33">
        <v>14</v>
      </c>
      <c r="B16" s="34">
        <f t="shared" si="0"/>
        <v>349</v>
      </c>
      <c r="C16" s="34" t="str">
        <f t="shared" si="1"/>
        <v>015D</v>
      </c>
      <c r="D16" s="1"/>
      <c r="E16" s="5" t="s">
        <v>132</v>
      </c>
      <c r="F16" s="1" t="s">
        <v>361</v>
      </c>
      <c r="G16" s="1" t="s">
        <v>114</v>
      </c>
      <c r="H16" s="1" t="s">
        <v>362</v>
      </c>
      <c r="I16" s="1"/>
      <c r="J16" s="1"/>
    </row>
    <row r="17" s="33" customFormat="1" spans="1:10">
      <c r="A17" s="33">
        <v>15</v>
      </c>
      <c r="B17" s="34">
        <f t="shared" si="0"/>
        <v>350</v>
      </c>
      <c r="C17" s="34" t="str">
        <f t="shared" si="1"/>
        <v>015E</v>
      </c>
      <c r="D17" s="1"/>
      <c r="E17" s="5" t="s">
        <v>132</v>
      </c>
      <c r="F17" s="1" t="s">
        <v>363</v>
      </c>
      <c r="G17" s="1" t="s">
        <v>114</v>
      </c>
      <c r="H17" s="1" t="s">
        <v>364</v>
      </c>
      <c r="I17" s="1"/>
      <c r="J17" s="1"/>
    </row>
    <row r="18" s="33" customFormat="1" spans="1:10">
      <c r="A18" s="33">
        <v>16</v>
      </c>
      <c r="B18" s="34">
        <f t="shared" si="0"/>
        <v>351</v>
      </c>
      <c r="C18" s="34" t="str">
        <f t="shared" si="1"/>
        <v>015F</v>
      </c>
      <c r="D18" s="1"/>
      <c r="E18" s="1"/>
      <c r="F18" s="1"/>
      <c r="G18" s="1"/>
      <c r="H18" s="1"/>
      <c r="I18" s="1"/>
      <c r="J18" s="1"/>
    </row>
    <row r="19" s="33" customFormat="1" spans="1:10">
      <c r="A19" s="33">
        <v>17</v>
      </c>
      <c r="B19" s="34">
        <f t="shared" si="0"/>
        <v>352</v>
      </c>
      <c r="C19" s="34" t="str">
        <f t="shared" si="1"/>
        <v>0160</v>
      </c>
      <c r="D19" s="1"/>
      <c r="E19" s="1"/>
      <c r="F19" s="1"/>
      <c r="G19" s="1"/>
      <c r="H19" s="1"/>
      <c r="I19" s="1"/>
      <c r="J19" s="1"/>
    </row>
    <row r="20" s="33" customFormat="1" spans="1:10">
      <c r="A20" s="33">
        <v>18</v>
      </c>
      <c r="B20" s="34">
        <f t="shared" si="0"/>
        <v>353</v>
      </c>
      <c r="C20" s="34" t="str">
        <f t="shared" si="1"/>
        <v>0161</v>
      </c>
      <c r="D20" s="1"/>
      <c r="E20" s="1"/>
      <c r="F20" s="1"/>
      <c r="G20" s="1"/>
      <c r="H20" s="1"/>
      <c r="I20" s="1"/>
      <c r="J20" s="1"/>
    </row>
    <row r="21" s="33" customFormat="1" spans="1:10">
      <c r="A21" s="33">
        <v>19</v>
      </c>
      <c r="B21" s="34">
        <f t="shared" si="0"/>
        <v>354</v>
      </c>
      <c r="C21" s="34" t="str">
        <f t="shared" si="1"/>
        <v>0162</v>
      </c>
      <c r="D21" s="1"/>
      <c r="E21" s="1"/>
      <c r="F21" s="1"/>
      <c r="G21" s="1"/>
      <c r="H21" s="1"/>
      <c r="I21" s="1"/>
      <c r="J21" s="1"/>
    </row>
    <row r="22" s="33" customFormat="1" spans="1:13">
      <c r="A22" s="33">
        <v>20</v>
      </c>
      <c r="B22" s="34">
        <f t="shared" si="0"/>
        <v>355</v>
      </c>
      <c r="C22" s="34" t="str">
        <f t="shared" si="1"/>
        <v>0163</v>
      </c>
      <c r="D22" s="1"/>
      <c r="E22" s="1"/>
      <c r="F22" s="1"/>
      <c r="G22" s="1"/>
      <c r="H22" s="1"/>
      <c r="I22" s="1"/>
      <c r="J22" s="1"/>
      <c r="L22" s="35"/>
      <c r="M22" s="35"/>
    </row>
    <row r="23" s="1" customFormat="1" spans="1:13">
      <c r="A23" s="1">
        <v>21</v>
      </c>
      <c r="B23" s="6">
        <f t="shared" si="0"/>
        <v>356</v>
      </c>
      <c r="C23" s="6" t="str">
        <f t="shared" si="1"/>
        <v>0164</v>
      </c>
      <c r="E23" s="5" t="s">
        <v>132</v>
      </c>
      <c r="F23" s="1" t="s">
        <v>365</v>
      </c>
      <c r="G23" s="1" t="s">
        <v>231</v>
      </c>
      <c r="H23" s="6"/>
      <c r="L23" s="13"/>
      <c r="M23" s="13"/>
    </row>
    <row r="24" s="33" customFormat="1" spans="1:13">
      <c r="A24" s="33">
        <v>22</v>
      </c>
      <c r="B24" s="34">
        <f t="shared" si="0"/>
        <v>357</v>
      </c>
      <c r="C24" s="34" t="str">
        <f t="shared" si="1"/>
        <v>0165</v>
      </c>
      <c r="D24" s="1"/>
      <c r="E24" s="5" t="s">
        <v>132</v>
      </c>
      <c r="F24" s="1" t="s">
        <v>284</v>
      </c>
      <c r="G24" s="33" t="s">
        <v>231</v>
      </c>
      <c r="H24" s="1"/>
      <c r="I24" s="1"/>
      <c r="J24" s="1"/>
      <c r="L24" s="35"/>
      <c r="M24" s="35"/>
    </row>
    <row r="25" s="33" customFormat="1" spans="1:13">
      <c r="A25" s="33">
        <v>23</v>
      </c>
      <c r="B25" s="34">
        <f t="shared" si="0"/>
        <v>358</v>
      </c>
      <c r="C25" s="34" t="str">
        <f t="shared" si="1"/>
        <v>0166</v>
      </c>
      <c r="D25" s="1"/>
      <c r="E25" s="5" t="s">
        <v>132</v>
      </c>
      <c r="F25" s="1" t="s">
        <v>356</v>
      </c>
      <c r="G25" s="1" t="s">
        <v>231</v>
      </c>
      <c r="H25" s="1" t="s">
        <v>282</v>
      </c>
      <c r="I25" s="1"/>
      <c r="J25" s="1"/>
      <c r="L25" s="35"/>
      <c r="M25" s="35"/>
    </row>
    <row r="26" s="33" customFormat="1" spans="1:13">
      <c r="A26" s="33">
        <v>24</v>
      </c>
      <c r="B26" s="34">
        <f t="shared" ref="B26:B34" si="2">$B$2+A26-1</f>
        <v>359</v>
      </c>
      <c r="C26" s="34" t="str">
        <f t="shared" ref="C26:C34" si="3">DEC2HEX(B26,4)</f>
        <v>0167</v>
      </c>
      <c r="D26" s="1"/>
      <c r="E26" s="5" t="s">
        <v>132</v>
      </c>
      <c r="F26" s="1" t="s">
        <v>366</v>
      </c>
      <c r="G26" s="1" t="s">
        <v>231</v>
      </c>
      <c r="H26" s="1" t="s">
        <v>282</v>
      </c>
      <c r="I26" s="1"/>
      <c r="J26" s="1"/>
      <c r="L26" s="36"/>
      <c r="M26" s="36"/>
    </row>
    <row r="27" spans="1:13">
      <c r="A27" s="33">
        <v>25</v>
      </c>
      <c r="B27" s="34">
        <f t="shared" si="2"/>
        <v>360</v>
      </c>
      <c r="C27" s="34" t="str">
        <f t="shared" si="3"/>
        <v>0168</v>
      </c>
      <c r="D27" s="5"/>
      <c r="E27" s="5" t="s">
        <v>132</v>
      </c>
      <c r="F27" s="1" t="s">
        <v>367</v>
      </c>
      <c r="G27" s="1" t="s">
        <v>231</v>
      </c>
      <c r="H27" s="1" t="s">
        <v>232</v>
      </c>
      <c r="I27" s="5"/>
      <c r="J27" s="5"/>
      <c r="L27" s="35"/>
      <c r="M27" s="35"/>
    </row>
    <row r="28" spans="1:13">
      <c r="A28" s="33">
        <v>26</v>
      </c>
      <c r="B28" s="34">
        <f t="shared" si="2"/>
        <v>361</v>
      </c>
      <c r="C28" s="34" t="str">
        <f t="shared" si="3"/>
        <v>0169</v>
      </c>
      <c r="D28" s="5"/>
      <c r="E28" s="5" t="s">
        <v>132</v>
      </c>
      <c r="F28" s="1" t="s">
        <v>368</v>
      </c>
      <c r="G28" s="1" t="s">
        <v>231</v>
      </c>
      <c r="H28" s="1" t="s">
        <v>232</v>
      </c>
      <c r="I28" s="5"/>
      <c r="J28" s="5"/>
      <c r="L28" s="35"/>
      <c r="M28" s="35"/>
    </row>
    <row r="29" spans="1:13">
      <c r="A29" s="33">
        <v>27</v>
      </c>
      <c r="B29" s="34">
        <f t="shared" si="2"/>
        <v>362</v>
      </c>
      <c r="C29" s="34" t="str">
        <f t="shared" si="3"/>
        <v>016A</v>
      </c>
      <c r="D29" s="5"/>
      <c r="E29" s="5"/>
      <c r="F29" s="1"/>
      <c r="G29" s="1"/>
      <c r="H29" s="1"/>
      <c r="I29" s="5"/>
      <c r="J29" s="5"/>
      <c r="L29" s="35"/>
      <c r="M29" s="35"/>
    </row>
    <row r="30" spans="1:13">
      <c r="A30" s="33">
        <v>28</v>
      </c>
      <c r="B30" s="34">
        <f t="shared" si="2"/>
        <v>363</v>
      </c>
      <c r="C30" s="34" t="str">
        <f t="shared" si="3"/>
        <v>016B</v>
      </c>
      <c r="D30" s="5"/>
      <c r="E30" s="5"/>
      <c r="F30" s="1"/>
      <c r="G30" s="1"/>
      <c r="H30" s="1"/>
      <c r="I30" s="5"/>
      <c r="J30" s="5"/>
      <c r="L30" s="35"/>
      <c r="M30" s="35"/>
    </row>
    <row r="31" spans="1:13">
      <c r="A31" s="33">
        <v>29</v>
      </c>
      <c r="B31" s="34">
        <f t="shared" si="2"/>
        <v>364</v>
      </c>
      <c r="C31" s="34" t="str">
        <f t="shared" si="3"/>
        <v>016C</v>
      </c>
      <c r="D31" s="5"/>
      <c r="E31" s="5" t="s">
        <v>132</v>
      </c>
      <c r="F31" s="1" t="s">
        <v>369</v>
      </c>
      <c r="G31" s="1" t="s">
        <v>231</v>
      </c>
      <c r="H31" s="1" t="s">
        <v>232</v>
      </c>
      <c r="I31" s="5"/>
      <c r="J31" s="5"/>
      <c r="K31" s="33"/>
      <c r="L31" s="35"/>
      <c r="M31" s="35"/>
    </row>
    <row r="32" spans="1:13">
      <c r="A32" s="33">
        <v>30</v>
      </c>
      <c r="B32" s="34">
        <f t="shared" si="2"/>
        <v>365</v>
      </c>
      <c r="C32" s="34" t="str">
        <f t="shared" si="3"/>
        <v>016D</v>
      </c>
      <c r="D32" s="5"/>
      <c r="E32" s="5" t="s">
        <v>132</v>
      </c>
      <c r="F32" s="1" t="s">
        <v>370</v>
      </c>
      <c r="G32" s="1" t="s">
        <v>114</v>
      </c>
      <c r="H32" s="1" t="s">
        <v>362</v>
      </c>
      <c r="I32" s="5"/>
      <c r="J32" s="5"/>
      <c r="K32" s="33"/>
      <c r="L32" s="35"/>
      <c r="M32" s="35"/>
    </row>
    <row r="33" spans="1:13">
      <c r="A33" s="33">
        <v>31</v>
      </c>
      <c r="B33" s="34">
        <f t="shared" si="2"/>
        <v>366</v>
      </c>
      <c r="C33" s="34" t="str">
        <f t="shared" si="3"/>
        <v>016E</v>
      </c>
      <c r="D33" s="5"/>
      <c r="E33" s="5" t="s">
        <v>132</v>
      </c>
      <c r="F33" s="1" t="s">
        <v>371</v>
      </c>
      <c r="G33" s="1" t="s">
        <v>114</v>
      </c>
      <c r="H33" s="1" t="s">
        <v>364</v>
      </c>
      <c r="I33" s="5"/>
      <c r="J33" s="5"/>
      <c r="L33" s="35"/>
      <c r="M33" s="35"/>
    </row>
    <row r="34" spans="1:11">
      <c r="A34" s="33">
        <v>32</v>
      </c>
      <c r="B34" s="34">
        <f t="shared" si="2"/>
        <v>367</v>
      </c>
      <c r="C34" s="34" t="str">
        <f t="shared" si="3"/>
        <v>016F</v>
      </c>
      <c r="D34" s="5"/>
      <c r="E34" s="5"/>
      <c r="F34" s="5"/>
      <c r="G34" s="5"/>
      <c r="H34" s="6"/>
      <c r="I34" s="5"/>
      <c r="J34" s="5"/>
      <c r="K34" s="33"/>
    </row>
    <row r="35" spans="1:10">
      <c r="A35" s="33">
        <v>33</v>
      </c>
      <c r="B35" s="34">
        <f t="shared" ref="B35:B51" si="4">$B$2+A35-1</f>
        <v>368</v>
      </c>
      <c r="C35" s="34" t="str">
        <f t="shared" ref="C35:C51" si="5">DEC2HEX(B35,4)</f>
        <v>0170</v>
      </c>
      <c r="D35" s="5"/>
      <c r="E35" s="5"/>
      <c r="F35" s="5"/>
      <c r="G35" s="5"/>
      <c r="H35" s="6"/>
      <c r="I35" s="5"/>
      <c r="J35" s="5"/>
    </row>
    <row r="36" spans="1:10">
      <c r="A36" s="33">
        <v>34</v>
      </c>
      <c r="B36" s="34">
        <f t="shared" si="4"/>
        <v>369</v>
      </c>
      <c r="C36" s="34" t="str">
        <f t="shared" si="5"/>
        <v>0171</v>
      </c>
      <c r="D36" s="5"/>
      <c r="E36" s="5"/>
      <c r="F36" s="5"/>
      <c r="G36" s="5"/>
      <c r="H36" s="6"/>
      <c r="I36" s="5"/>
      <c r="J36" s="5"/>
    </row>
    <row r="37" spans="1:10">
      <c r="A37" s="33">
        <v>35</v>
      </c>
      <c r="B37" s="34">
        <f t="shared" si="4"/>
        <v>370</v>
      </c>
      <c r="C37" s="34" t="str">
        <f t="shared" si="5"/>
        <v>0172</v>
      </c>
      <c r="D37" s="5"/>
      <c r="E37" s="5"/>
      <c r="F37" s="5"/>
      <c r="G37" s="5"/>
      <c r="H37" s="6"/>
      <c r="I37" s="5"/>
      <c r="J37" s="5"/>
    </row>
    <row r="38" spans="1:8">
      <c r="A38" s="33">
        <v>36</v>
      </c>
      <c r="B38" s="34">
        <f t="shared" si="4"/>
        <v>371</v>
      </c>
      <c r="C38" s="34" t="str">
        <f t="shared" si="5"/>
        <v>0173</v>
      </c>
      <c r="E38" s="5"/>
      <c r="F38" s="5"/>
      <c r="G38" s="5"/>
      <c r="H38" s="6"/>
    </row>
    <row r="39" spans="1:8">
      <c r="A39" s="33">
        <v>37</v>
      </c>
      <c r="B39" s="34">
        <f t="shared" si="4"/>
        <v>372</v>
      </c>
      <c r="C39" s="34" t="str">
        <f t="shared" si="5"/>
        <v>0174</v>
      </c>
      <c r="E39" s="5"/>
      <c r="F39" s="5"/>
      <c r="G39" s="5"/>
      <c r="H39" s="6"/>
    </row>
    <row r="40" spans="1:9">
      <c r="A40" s="33">
        <v>38</v>
      </c>
      <c r="B40" s="34">
        <f t="shared" si="4"/>
        <v>373</v>
      </c>
      <c r="C40" s="34" t="str">
        <f t="shared" si="5"/>
        <v>0175</v>
      </c>
      <c r="E40" s="5"/>
      <c r="F40" s="1"/>
      <c r="G40" s="1"/>
      <c r="H40" s="1"/>
      <c r="I40" s="31"/>
    </row>
    <row r="41" ht="56" spans="1:9">
      <c r="A41" s="33">
        <v>39</v>
      </c>
      <c r="B41" s="34">
        <f t="shared" si="4"/>
        <v>374</v>
      </c>
      <c r="C41" s="34" t="str">
        <f t="shared" si="5"/>
        <v>0176</v>
      </c>
      <c r="E41" s="5" t="s">
        <v>132</v>
      </c>
      <c r="F41" s="1" t="s">
        <v>372</v>
      </c>
      <c r="G41" s="1" t="s">
        <v>114</v>
      </c>
      <c r="H41" s="1"/>
      <c r="I41" s="40" t="s">
        <v>373</v>
      </c>
    </row>
    <row r="42" spans="1:8">
      <c r="A42" s="33">
        <v>40</v>
      </c>
      <c r="B42" s="34">
        <f t="shared" si="4"/>
        <v>375</v>
      </c>
      <c r="C42" s="34" t="str">
        <f t="shared" si="5"/>
        <v>0177</v>
      </c>
      <c r="E42" s="5" t="s">
        <v>132</v>
      </c>
      <c r="F42" s="1" t="s">
        <v>374</v>
      </c>
      <c r="G42" s="1" t="s">
        <v>231</v>
      </c>
      <c r="H42" s="1" t="s">
        <v>232</v>
      </c>
    </row>
    <row r="43" spans="1:8">
      <c r="A43" s="33">
        <v>41</v>
      </c>
      <c r="B43" s="34">
        <f t="shared" si="4"/>
        <v>376</v>
      </c>
      <c r="C43" s="34" t="str">
        <f t="shared" si="5"/>
        <v>0178</v>
      </c>
      <c r="E43" s="5" t="s">
        <v>132</v>
      </c>
      <c r="F43" s="1" t="s">
        <v>375</v>
      </c>
      <c r="G43" s="1" t="s">
        <v>231</v>
      </c>
      <c r="H43" s="1" t="s">
        <v>232</v>
      </c>
    </row>
    <row r="44" spans="1:8">
      <c r="A44" s="33">
        <v>42</v>
      </c>
      <c r="B44" s="34">
        <f t="shared" si="4"/>
        <v>377</v>
      </c>
      <c r="C44" s="34" t="str">
        <f t="shared" si="5"/>
        <v>0179</v>
      </c>
      <c r="E44" s="5" t="s">
        <v>132</v>
      </c>
      <c r="F44" s="1" t="s">
        <v>376</v>
      </c>
      <c r="G44" s="1" t="s">
        <v>231</v>
      </c>
      <c r="H44" s="1" t="s">
        <v>282</v>
      </c>
    </row>
    <row r="45" spans="1:8">
      <c r="A45" s="33">
        <v>43</v>
      </c>
      <c r="B45" s="34">
        <f t="shared" si="4"/>
        <v>378</v>
      </c>
      <c r="C45" s="34" t="str">
        <f t="shared" si="5"/>
        <v>017A</v>
      </c>
      <c r="E45" s="5" t="s">
        <v>132</v>
      </c>
      <c r="F45" s="1" t="s">
        <v>377</v>
      </c>
      <c r="G45" s="1" t="s">
        <v>231</v>
      </c>
      <c r="H45" s="1" t="s">
        <v>282</v>
      </c>
    </row>
    <row r="46" spans="1:8">
      <c r="A46" s="33">
        <v>44</v>
      </c>
      <c r="B46" s="34">
        <f t="shared" si="4"/>
        <v>379</v>
      </c>
      <c r="C46" s="34" t="str">
        <f t="shared" si="5"/>
        <v>017B</v>
      </c>
      <c r="E46" s="5" t="s">
        <v>132</v>
      </c>
      <c r="F46" s="1" t="s">
        <v>378</v>
      </c>
      <c r="G46" s="1" t="s">
        <v>114</v>
      </c>
      <c r="H46" s="1" t="s">
        <v>362</v>
      </c>
    </row>
    <row r="47" spans="1:8">
      <c r="A47" s="33">
        <v>45</v>
      </c>
      <c r="B47" s="34">
        <f t="shared" si="4"/>
        <v>380</v>
      </c>
      <c r="C47" s="34" t="str">
        <f t="shared" si="5"/>
        <v>017C</v>
      </c>
      <c r="E47" s="5" t="s">
        <v>132</v>
      </c>
      <c r="F47" s="1" t="s">
        <v>379</v>
      </c>
      <c r="G47" s="1" t="s">
        <v>114</v>
      </c>
      <c r="H47" s="1" t="s">
        <v>362</v>
      </c>
    </row>
    <row r="48" spans="1:8">
      <c r="A48" s="33">
        <v>46</v>
      </c>
      <c r="B48" s="34">
        <f t="shared" si="4"/>
        <v>381</v>
      </c>
      <c r="C48" s="34" t="str">
        <f t="shared" si="5"/>
        <v>017D</v>
      </c>
      <c r="E48" s="5"/>
      <c r="F48" s="1"/>
      <c r="G48" s="1"/>
      <c r="H48" s="1"/>
    </row>
    <row r="49" spans="1:8">
      <c r="A49" s="33">
        <v>47</v>
      </c>
      <c r="B49" s="34">
        <f t="shared" si="4"/>
        <v>382</v>
      </c>
      <c r="C49" s="34" t="str">
        <f t="shared" si="5"/>
        <v>017E</v>
      </c>
      <c r="E49" s="5" t="s">
        <v>132</v>
      </c>
      <c r="F49" s="1" t="s">
        <v>380</v>
      </c>
      <c r="G49" s="1" t="s">
        <v>231</v>
      </c>
      <c r="H49" s="1" t="s">
        <v>232</v>
      </c>
    </row>
    <row r="50" spans="1:8">
      <c r="A50" s="33">
        <v>48</v>
      </c>
      <c r="B50" s="34">
        <f t="shared" si="4"/>
        <v>383</v>
      </c>
      <c r="C50" s="34" t="str">
        <f t="shared" si="5"/>
        <v>017F</v>
      </c>
      <c r="E50" s="5" t="s">
        <v>132</v>
      </c>
      <c r="F50" s="1" t="s">
        <v>381</v>
      </c>
      <c r="G50" s="1" t="s">
        <v>114</v>
      </c>
      <c r="H50" s="6" t="s">
        <v>362</v>
      </c>
    </row>
    <row r="51" spans="1:8">
      <c r="A51" s="33">
        <v>49</v>
      </c>
      <c r="B51" s="34">
        <f t="shared" si="4"/>
        <v>384</v>
      </c>
      <c r="C51" s="34" t="str">
        <f t="shared" si="5"/>
        <v>0180</v>
      </c>
      <c r="E51" s="5" t="s">
        <v>132</v>
      </c>
      <c r="F51" s="1" t="s">
        <v>382</v>
      </c>
      <c r="G51" s="1" t="s">
        <v>114</v>
      </c>
      <c r="H51" s="6" t="s">
        <v>362</v>
      </c>
    </row>
    <row r="52" spans="1:8">
      <c r="A52" s="33">
        <v>50</v>
      </c>
      <c r="B52" s="34">
        <f t="shared" ref="B52:B66" si="6">$B$2+A52-1</f>
        <v>385</v>
      </c>
      <c r="C52" s="34" t="str">
        <f t="shared" ref="C52:C66" si="7">DEC2HEX(B52,4)</f>
        <v>0181</v>
      </c>
      <c r="E52" s="5" t="s">
        <v>132</v>
      </c>
      <c r="F52" s="1" t="s">
        <v>383</v>
      </c>
      <c r="G52" s="1" t="s">
        <v>114</v>
      </c>
      <c r="H52" s="6" t="s">
        <v>384</v>
      </c>
    </row>
    <row r="53" spans="1:8">
      <c r="A53" s="33">
        <v>51</v>
      </c>
      <c r="B53" s="34">
        <f t="shared" si="6"/>
        <v>386</v>
      </c>
      <c r="C53" s="34" t="str">
        <f t="shared" si="7"/>
        <v>0182</v>
      </c>
      <c r="E53" s="5"/>
      <c r="F53" s="1"/>
      <c r="G53" s="1"/>
      <c r="H53" s="6"/>
    </row>
    <row r="54" spans="1:8">
      <c r="A54" s="33">
        <v>52</v>
      </c>
      <c r="B54" s="34">
        <f t="shared" si="6"/>
        <v>387</v>
      </c>
      <c r="C54" s="34" t="str">
        <f t="shared" si="7"/>
        <v>0183</v>
      </c>
      <c r="E54" s="5" t="s">
        <v>132</v>
      </c>
      <c r="F54" s="1" t="s">
        <v>385</v>
      </c>
      <c r="G54" s="1" t="s">
        <v>114</v>
      </c>
      <c r="H54" s="6" t="s">
        <v>362</v>
      </c>
    </row>
    <row r="55" spans="1:8">
      <c r="A55" s="33">
        <v>53</v>
      </c>
      <c r="B55" s="34">
        <f t="shared" si="6"/>
        <v>388</v>
      </c>
      <c r="C55" s="34" t="str">
        <f t="shared" si="7"/>
        <v>0184</v>
      </c>
      <c r="E55" s="5"/>
      <c r="F55" s="5"/>
      <c r="G55" s="5"/>
      <c r="H55" s="6"/>
    </row>
    <row r="56" spans="1:3">
      <c r="A56" s="33">
        <v>54</v>
      </c>
      <c r="B56" s="34">
        <f t="shared" si="6"/>
        <v>389</v>
      </c>
      <c r="C56" s="34" t="str">
        <f t="shared" si="7"/>
        <v>0185</v>
      </c>
    </row>
    <row r="57" spans="1:3">
      <c r="A57" s="33">
        <v>55</v>
      </c>
      <c r="B57" s="34">
        <f t="shared" si="6"/>
        <v>390</v>
      </c>
      <c r="C57" s="34" t="str">
        <f t="shared" si="7"/>
        <v>0186</v>
      </c>
    </row>
    <row r="58" spans="1:3">
      <c r="A58" s="33">
        <v>56</v>
      </c>
      <c r="B58" s="34">
        <f t="shared" si="6"/>
        <v>391</v>
      </c>
      <c r="C58" s="34" t="str">
        <f t="shared" si="7"/>
        <v>0187</v>
      </c>
    </row>
    <row r="59" spans="1:3">
      <c r="A59" s="33">
        <v>57</v>
      </c>
      <c r="B59" s="34">
        <f t="shared" si="6"/>
        <v>392</v>
      </c>
      <c r="C59" s="34" t="str">
        <f t="shared" si="7"/>
        <v>0188</v>
      </c>
    </row>
    <row r="60" spans="1:3">
      <c r="A60" s="33">
        <v>58</v>
      </c>
      <c r="B60" s="34">
        <f t="shared" si="6"/>
        <v>393</v>
      </c>
      <c r="C60" s="34" t="str">
        <f t="shared" si="7"/>
        <v>0189</v>
      </c>
    </row>
    <row r="61" spans="1:3">
      <c r="A61" s="33">
        <v>59</v>
      </c>
      <c r="B61" s="34">
        <f t="shared" si="6"/>
        <v>394</v>
      </c>
      <c r="C61" s="34" t="str">
        <f t="shared" si="7"/>
        <v>018A</v>
      </c>
    </row>
    <row r="62" spans="1:3">
      <c r="A62" s="33">
        <v>60</v>
      </c>
      <c r="B62" s="34">
        <f t="shared" si="6"/>
        <v>395</v>
      </c>
      <c r="C62" s="34" t="str">
        <f t="shared" si="7"/>
        <v>018B</v>
      </c>
    </row>
    <row r="63" spans="1:3">
      <c r="A63" s="33">
        <v>61</v>
      </c>
      <c r="B63" s="34">
        <f t="shared" si="6"/>
        <v>396</v>
      </c>
      <c r="C63" s="34" t="str">
        <f t="shared" si="7"/>
        <v>018C</v>
      </c>
    </row>
    <row r="64" spans="1:3">
      <c r="A64" s="33">
        <v>62</v>
      </c>
      <c r="B64" s="34">
        <f t="shared" si="6"/>
        <v>397</v>
      </c>
      <c r="C64" s="34" t="str">
        <f t="shared" si="7"/>
        <v>018D</v>
      </c>
    </row>
    <row r="65" spans="1:3">
      <c r="A65" s="33">
        <v>63</v>
      </c>
      <c r="B65" s="34">
        <f t="shared" si="6"/>
        <v>398</v>
      </c>
      <c r="C65" s="34" t="str">
        <f t="shared" si="7"/>
        <v>018E</v>
      </c>
    </row>
    <row r="66" spans="1:3">
      <c r="A66" s="33">
        <v>64</v>
      </c>
      <c r="B66" s="34">
        <f t="shared" si="6"/>
        <v>399</v>
      </c>
      <c r="C66" s="34" t="str">
        <f t="shared" si="7"/>
        <v>018F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2"/>
  <dimension ref="A1:K34"/>
  <sheetViews>
    <sheetView workbookViewId="0">
      <selection activeCell="A4" sqref="$A4:$XFD4"/>
    </sheetView>
  </sheetViews>
  <sheetFormatPr defaultColWidth="8.73636363636364" defaultRowHeight="14"/>
  <cols>
    <col min="1" max="1" width="5.55454545454545" customWidth="1"/>
    <col min="2" max="2" width="14" customWidth="1"/>
    <col min="3" max="3" width="5.55454545454545" customWidth="1"/>
    <col min="4" max="4" width="7.55454545454545" customWidth="1"/>
    <col min="5" max="5" width="5.55454545454545" customWidth="1"/>
    <col min="6" max="7" width="18.5454545454545" style="34" customWidth="1"/>
    <col min="8" max="8" width="7.15454545454545" customWidth="1"/>
    <col min="9" max="9" width="19.7363636363636" customWidth="1"/>
    <col min="10" max="11" width="7.55454545454545" customWidth="1"/>
  </cols>
  <sheetData>
    <row r="1" spans="1:11">
      <c r="A1" s="33" t="s">
        <v>99</v>
      </c>
      <c r="B1" s="33" t="s">
        <v>100</v>
      </c>
      <c r="C1" s="33" t="s">
        <v>101</v>
      </c>
      <c r="D1" s="33" t="s">
        <v>102</v>
      </c>
      <c r="E1" s="33" t="s">
        <v>103</v>
      </c>
      <c r="F1" s="33" t="s">
        <v>104</v>
      </c>
      <c r="G1" s="33" t="s">
        <v>105</v>
      </c>
      <c r="H1" s="33" t="s">
        <v>106</v>
      </c>
      <c r="I1" s="33" t="s">
        <v>107</v>
      </c>
      <c r="J1" s="33" t="s">
        <v>108</v>
      </c>
      <c r="K1" s="33" t="s">
        <v>109</v>
      </c>
    </row>
    <row r="2" spans="1:7">
      <c r="A2" s="33"/>
      <c r="B2" s="33">
        <f>HEX2DEC(C2)</f>
        <v>400</v>
      </c>
      <c r="C2" s="33" t="s">
        <v>386</v>
      </c>
      <c r="D2" s="33"/>
      <c r="E2" s="33"/>
      <c r="F2" s="33" t="s">
        <v>387</v>
      </c>
      <c r="G2" s="33"/>
    </row>
    <row r="3" spans="1:9">
      <c r="A3" s="33">
        <v>1</v>
      </c>
      <c r="B3" s="34">
        <f>$B$2+A3-1</f>
        <v>400</v>
      </c>
      <c r="C3" s="34" t="str">
        <f>DEC2HEX(B3,4)</f>
        <v>0190</v>
      </c>
      <c r="D3" s="33"/>
      <c r="E3" s="33" t="s">
        <v>132</v>
      </c>
      <c r="F3" s="33" t="s">
        <v>388</v>
      </c>
      <c r="G3" s="33" t="s">
        <v>114</v>
      </c>
      <c r="I3" t="s">
        <v>123</v>
      </c>
    </row>
    <row r="4" ht="42" spans="1:9">
      <c r="A4" s="33">
        <v>2</v>
      </c>
      <c r="B4" s="34">
        <f t="shared" ref="B4:B15" si="0">$B$2+A4-1</f>
        <v>401</v>
      </c>
      <c r="C4" s="34" t="str">
        <f t="shared" ref="C4:C15" si="1">DEC2HEX(B4,4)</f>
        <v>0191</v>
      </c>
      <c r="D4" s="33"/>
      <c r="E4" s="33" t="s">
        <v>132</v>
      </c>
      <c r="F4" s="33" t="s">
        <v>389</v>
      </c>
      <c r="G4" s="33" t="s">
        <v>114</v>
      </c>
      <c r="I4" s="40" t="s">
        <v>390</v>
      </c>
    </row>
    <row r="5" spans="1:7">
      <c r="A5" s="33">
        <v>3</v>
      </c>
      <c r="B5" s="34">
        <f t="shared" si="0"/>
        <v>402</v>
      </c>
      <c r="C5" s="34" t="str">
        <f t="shared" si="1"/>
        <v>0192</v>
      </c>
      <c r="D5" s="33"/>
      <c r="E5" s="33" t="s">
        <v>132</v>
      </c>
      <c r="F5" s="34" t="s">
        <v>391</v>
      </c>
      <c r="G5" s="33" t="s">
        <v>114</v>
      </c>
    </row>
    <row r="6" spans="1:8">
      <c r="A6" s="33">
        <v>4</v>
      </c>
      <c r="B6" s="34">
        <f t="shared" si="0"/>
        <v>403</v>
      </c>
      <c r="C6" s="34" t="str">
        <f t="shared" si="1"/>
        <v>0193</v>
      </c>
      <c r="D6" s="33"/>
      <c r="E6" s="33" t="s">
        <v>132</v>
      </c>
      <c r="F6" s="33" t="s">
        <v>392</v>
      </c>
      <c r="G6" s="33" t="s">
        <v>231</v>
      </c>
      <c r="H6" t="s">
        <v>232</v>
      </c>
    </row>
    <row r="7" spans="1:8">
      <c r="A7" s="33">
        <v>5</v>
      </c>
      <c r="B7" s="34">
        <f t="shared" si="0"/>
        <v>404</v>
      </c>
      <c r="C7" s="34" t="str">
        <f t="shared" si="1"/>
        <v>0194</v>
      </c>
      <c r="D7" s="42"/>
      <c r="E7" s="33" t="s">
        <v>132</v>
      </c>
      <c r="F7" s="33" t="s">
        <v>393</v>
      </c>
      <c r="G7" s="33" t="s">
        <v>231</v>
      </c>
      <c r="H7" s="5" t="s">
        <v>282</v>
      </c>
    </row>
    <row r="8" spans="1:8">
      <c r="A8" s="33">
        <v>6</v>
      </c>
      <c r="B8" s="34">
        <f t="shared" si="0"/>
        <v>405</v>
      </c>
      <c r="C8" s="34" t="str">
        <f t="shared" si="1"/>
        <v>0195</v>
      </c>
      <c r="D8" s="42"/>
      <c r="E8" s="33" t="s">
        <v>132</v>
      </c>
      <c r="F8" s="33" t="s">
        <v>394</v>
      </c>
      <c r="G8" s="33" t="s">
        <v>231</v>
      </c>
      <c r="H8" t="s">
        <v>395</v>
      </c>
    </row>
    <row r="9" spans="1:8">
      <c r="A9" s="33">
        <v>7</v>
      </c>
      <c r="B9" s="34">
        <f t="shared" si="0"/>
        <v>406</v>
      </c>
      <c r="C9" s="34" t="str">
        <f t="shared" si="1"/>
        <v>0196</v>
      </c>
      <c r="D9" s="42"/>
      <c r="E9" s="33" t="s">
        <v>132</v>
      </c>
      <c r="F9" s="33" t="s">
        <v>396</v>
      </c>
      <c r="G9" s="33" t="s">
        <v>231</v>
      </c>
      <c r="H9" t="s">
        <v>299</v>
      </c>
    </row>
    <row r="10" spans="1:8">
      <c r="A10" s="33">
        <v>8</v>
      </c>
      <c r="B10" s="34">
        <f t="shared" si="0"/>
        <v>407</v>
      </c>
      <c r="C10" s="34" t="str">
        <f t="shared" si="1"/>
        <v>0197</v>
      </c>
      <c r="D10" s="42"/>
      <c r="E10" s="33" t="s">
        <v>132</v>
      </c>
      <c r="F10" s="34" t="s">
        <v>397</v>
      </c>
      <c r="G10" s="33" t="s">
        <v>231</v>
      </c>
      <c r="H10" t="s">
        <v>299</v>
      </c>
    </row>
    <row r="11" spans="1:8">
      <c r="A11" s="33">
        <v>9</v>
      </c>
      <c r="B11" s="34">
        <f t="shared" si="0"/>
        <v>408</v>
      </c>
      <c r="C11" s="34" t="str">
        <f t="shared" si="1"/>
        <v>0198</v>
      </c>
      <c r="D11" s="42"/>
      <c r="E11" s="33" t="s">
        <v>132</v>
      </c>
      <c r="F11" s="1" t="s">
        <v>309</v>
      </c>
      <c r="G11" s="1" t="s">
        <v>114</v>
      </c>
      <c r="H11" s="5" t="s">
        <v>398</v>
      </c>
    </row>
    <row r="12" spans="1:8">
      <c r="A12" s="33">
        <v>10</v>
      </c>
      <c r="B12" s="34">
        <f t="shared" si="0"/>
        <v>409</v>
      </c>
      <c r="C12" s="34" t="str">
        <f t="shared" si="1"/>
        <v>0199</v>
      </c>
      <c r="D12" s="42"/>
      <c r="E12" s="33" t="s">
        <v>132</v>
      </c>
      <c r="F12" s="1" t="s">
        <v>399</v>
      </c>
      <c r="G12" s="1" t="s">
        <v>114</v>
      </c>
      <c r="H12" s="5" t="s">
        <v>398</v>
      </c>
    </row>
    <row r="13" spans="1:8">
      <c r="A13" s="33">
        <v>11</v>
      </c>
      <c r="B13" s="34">
        <f t="shared" si="0"/>
        <v>410</v>
      </c>
      <c r="C13" s="34" t="str">
        <f t="shared" si="1"/>
        <v>019A</v>
      </c>
      <c r="D13" s="42"/>
      <c r="E13" s="33" t="s">
        <v>132</v>
      </c>
      <c r="F13" s="33" t="s">
        <v>400</v>
      </c>
      <c r="G13" s="33" t="s">
        <v>231</v>
      </c>
      <c r="H13" t="s">
        <v>232</v>
      </c>
    </row>
    <row r="14" spans="1:8">
      <c r="A14" s="33">
        <v>12</v>
      </c>
      <c r="B14" s="34">
        <f t="shared" si="0"/>
        <v>411</v>
      </c>
      <c r="C14" s="34" t="str">
        <f t="shared" si="1"/>
        <v>019B</v>
      </c>
      <c r="D14" s="42"/>
      <c r="E14" s="33" t="s">
        <v>132</v>
      </c>
      <c r="F14" s="33" t="s">
        <v>401</v>
      </c>
      <c r="G14" s="33" t="s">
        <v>231</v>
      </c>
      <c r="H14" t="s">
        <v>234</v>
      </c>
    </row>
    <row r="15" spans="1:8">
      <c r="A15" s="33">
        <v>13</v>
      </c>
      <c r="B15" s="34">
        <f t="shared" si="0"/>
        <v>412</v>
      </c>
      <c r="C15" s="34" t="str">
        <f t="shared" si="1"/>
        <v>019C</v>
      </c>
      <c r="D15" s="42"/>
      <c r="E15" s="33" t="s">
        <v>132</v>
      </c>
      <c r="F15" s="34" t="s">
        <v>402</v>
      </c>
      <c r="G15" s="33" t="s">
        <v>231</v>
      </c>
      <c r="H15" t="s">
        <v>234</v>
      </c>
    </row>
    <row r="16" spans="1:8">
      <c r="A16" s="33">
        <v>14</v>
      </c>
      <c r="B16" s="34">
        <f t="shared" ref="B16:B34" si="2">$B$2+A16-1</f>
        <v>413</v>
      </c>
      <c r="C16" s="34" t="str">
        <f t="shared" ref="C16:C34" si="3">DEC2HEX(B16,4)</f>
        <v>019D</v>
      </c>
      <c r="E16" s="33" t="s">
        <v>132</v>
      </c>
      <c r="F16" s="34" t="s">
        <v>403</v>
      </c>
      <c r="G16" s="33" t="s">
        <v>231</v>
      </c>
      <c r="H16" t="s">
        <v>299</v>
      </c>
    </row>
    <row r="17" spans="1:8">
      <c r="A17" s="33">
        <v>15</v>
      </c>
      <c r="B17" s="34">
        <f t="shared" si="2"/>
        <v>414</v>
      </c>
      <c r="C17" s="34" t="str">
        <f t="shared" si="3"/>
        <v>019E</v>
      </c>
      <c r="E17" s="33" t="s">
        <v>132</v>
      </c>
      <c r="F17" s="34" t="s">
        <v>404</v>
      </c>
      <c r="G17" s="33" t="s">
        <v>231</v>
      </c>
      <c r="H17" t="s">
        <v>299</v>
      </c>
    </row>
    <row r="18" spans="1:9">
      <c r="A18" s="33">
        <v>16</v>
      </c>
      <c r="B18" s="34">
        <f t="shared" si="2"/>
        <v>415</v>
      </c>
      <c r="C18" s="34" t="str">
        <f t="shared" si="3"/>
        <v>019F</v>
      </c>
      <c r="E18" s="33" t="s">
        <v>132</v>
      </c>
      <c r="F18" s="34" t="s">
        <v>405</v>
      </c>
      <c r="G18" s="33" t="s">
        <v>231</v>
      </c>
      <c r="H18" t="s">
        <v>232</v>
      </c>
      <c r="I18" t="s">
        <v>123</v>
      </c>
    </row>
    <row r="19" spans="1:9">
      <c r="A19" s="33">
        <v>17</v>
      </c>
      <c r="B19" s="34">
        <f t="shared" si="2"/>
        <v>416</v>
      </c>
      <c r="C19" s="34" t="str">
        <f t="shared" si="3"/>
        <v>01A0</v>
      </c>
      <c r="E19" s="33" t="s">
        <v>132</v>
      </c>
      <c r="F19" s="34" t="s">
        <v>406</v>
      </c>
      <c r="G19" s="33" t="s">
        <v>231</v>
      </c>
      <c r="H19" t="s">
        <v>232</v>
      </c>
      <c r="I19" t="s">
        <v>123</v>
      </c>
    </row>
    <row r="20" spans="1:7">
      <c r="A20" s="33">
        <v>18</v>
      </c>
      <c r="B20" s="34">
        <f t="shared" si="2"/>
        <v>417</v>
      </c>
      <c r="C20" s="34" t="str">
        <f t="shared" si="3"/>
        <v>01A1</v>
      </c>
      <c r="E20" s="33" t="s">
        <v>132</v>
      </c>
      <c r="F20" s="33" t="s">
        <v>407</v>
      </c>
      <c r="G20" s="33" t="s">
        <v>114</v>
      </c>
    </row>
    <row r="21" spans="1:7">
      <c r="A21" s="33">
        <v>19</v>
      </c>
      <c r="B21" s="34">
        <f t="shared" si="2"/>
        <v>418</v>
      </c>
      <c r="C21" s="34" t="str">
        <f t="shared" si="3"/>
        <v>01A2</v>
      </c>
      <c r="E21" s="33" t="s">
        <v>132</v>
      </c>
      <c r="F21" s="33" t="s">
        <v>408</v>
      </c>
      <c r="G21" s="33" t="s">
        <v>114</v>
      </c>
    </row>
    <row r="22" spans="1:3">
      <c r="A22" s="33">
        <v>20</v>
      </c>
      <c r="B22" s="34">
        <f t="shared" si="2"/>
        <v>419</v>
      </c>
      <c r="C22" s="34" t="str">
        <f t="shared" si="3"/>
        <v>01A3</v>
      </c>
    </row>
    <row r="23" spans="1:7">
      <c r="A23" s="33">
        <v>21</v>
      </c>
      <c r="B23" s="34">
        <f t="shared" si="2"/>
        <v>420</v>
      </c>
      <c r="C23" s="34" t="str">
        <f t="shared" si="3"/>
        <v>01A4</v>
      </c>
      <c r="F23" s="33"/>
      <c r="G23" s="33"/>
    </row>
    <row r="24" spans="1:3">
      <c r="A24" s="33">
        <v>22</v>
      </c>
      <c r="B24" s="34">
        <f t="shared" si="2"/>
        <v>421</v>
      </c>
      <c r="C24" s="34" t="str">
        <f t="shared" si="3"/>
        <v>01A5</v>
      </c>
    </row>
    <row r="25" spans="1:3">
      <c r="A25" s="33">
        <v>23</v>
      </c>
      <c r="B25" s="34">
        <f t="shared" si="2"/>
        <v>422</v>
      </c>
      <c r="C25" s="34" t="str">
        <f t="shared" si="3"/>
        <v>01A6</v>
      </c>
    </row>
    <row r="26" spans="1:3">
      <c r="A26" s="33">
        <v>24</v>
      </c>
      <c r="B26" s="34">
        <f t="shared" si="2"/>
        <v>423</v>
      </c>
      <c r="C26" s="34" t="str">
        <f t="shared" si="3"/>
        <v>01A7</v>
      </c>
    </row>
    <row r="27" spans="1:3">
      <c r="A27" s="33">
        <v>25</v>
      </c>
      <c r="B27" s="34">
        <f t="shared" si="2"/>
        <v>424</v>
      </c>
      <c r="C27" s="34" t="str">
        <f t="shared" si="3"/>
        <v>01A8</v>
      </c>
    </row>
    <row r="28" spans="1:3">
      <c r="A28" s="33">
        <v>26</v>
      </c>
      <c r="B28" s="34">
        <f t="shared" si="2"/>
        <v>425</v>
      </c>
      <c r="C28" s="34" t="str">
        <f t="shared" si="3"/>
        <v>01A9</v>
      </c>
    </row>
    <row r="29" spans="1:3">
      <c r="A29" s="33">
        <v>27</v>
      </c>
      <c r="B29" s="34">
        <f t="shared" si="2"/>
        <v>426</v>
      </c>
      <c r="C29" s="34" t="str">
        <f t="shared" si="3"/>
        <v>01AA</v>
      </c>
    </row>
    <row r="30" spans="1:3">
      <c r="A30" s="33">
        <v>28</v>
      </c>
      <c r="B30" s="34">
        <f t="shared" si="2"/>
        <v>427</v>
      </c>
      <c r="C30" s="34" t="str">
        <f t="shared" si="3"/>
        <v>01AB</v>
      </c>
    </row>
    <row r="31" spans="1:3">
      <c r="A31" s="33">
        <v>29</v>
      </c>
      <c r="B31" s="34">
        <f t="shared" si="2"/>
        <v>428</v>
      </c>
      <c r="C31" s="34" t="str">
        <f t="shared" si="3"/>
        <v>01AC</v>
      </c>
    </row>
    <row r="32" spans="1:3">
      <c r="A32" s="33">
        <v>30</v>
      </c>
      <c r="B32" s="34">
        <f t="shared" si="2"/>
        <v>429</v>
      </c>
      <c r="C32" s="34" t="str">
        <f t="shared" si="3"/>
        <v>01AD</v>
      </c>
    </row>
    <row r="33" spans="1:3">
      <c r="A33" s="33">
        <v>31</v>
      </c>
      <c r="B33" s="34">
        <f t="shared" si="2"/>
        <v>430</v>
      </c>
      <c r="C33" s="34" t="str">
        <f t="shared" si="3"/>
        <v>01AE</v>
      </c>
    </row>
    <row r="34" spans="1:3">
      <c r="A34" s="33">
        <v>32</v>
      </c>
      <c r="B34" s="34">
        <f t="shared" si="2"/>
        <v>431</v>
      </c>
      <c r="C34" s="34" t="str">
        <f t="shared" si="3"/>
        <v>01AF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5"/>
  <dimension ref="A1:K98"/>
  <sheetViews>
    <sheetView workbookViewId="0">
      <selection activeCell="A7" sqref="$A7:$XFD7"/>
    </sheetView>
  </sheetViews>
  <sheetFormatPr defaultColWidth="8.73636363636364" defaultRowHeight="14"/>
  <cols>
    <col min="1" max="1" width="5.55454545454545" style="5" customWidth="1"/>
    <col min="2" max="2" width="14" style="5" customWidth="1"/>
    <col min="3" max="3" width="5.55454545454545" style="5" customWidth="1"/>
    <col min="4" max="4" width="7.55454545454545" style="5" customWidth="1"/>
    <col min="5" max="5" width="5.55454545454545" style="5" customWidth="1"/>
    <col min="6" max="6" width="26.1818181818182" style="5" customWidth="1"/>
    <col min="7" max="7" width="18.5454545454545" style="6" customWidth="1"/>
    <col min="8" max="8" width="6.55454545454545" style="6" customWidth="1"/>
    <col min="9" max="9" width="5.55454545454545" style="5" customWidth="1"/>
    <col min="10" max="11" width="7.55454545454545" style="5" customWidth="1"/>
    <col min="12" max="16384" width="8.73636363636364" style="5"/>
  </cols>
  <sheetData>
    <row r="1" spans="1:11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</row>
    <row r="2" s="1" customFormat="1" spans="2:9">
      <c r="B2" s="1">
        <f>HEX2DEC(C2)</f>
        <v>432</v>
      </c>
      <c r="C2" s="1" t="s">
        <v>409</v>
      </c>
      <c r="F2" s="1" t="s">
        <v>410</v>
      </c>
      <c r="I2" s="13"/>
    </row>
    <row r="3" s="1" customFormat="1" spans="1:9">
      <c r="A3" s="1">
        <v>1</v>
      </c>
      <c r="B3" s="6">
        <f>$B$2+A3-1</f>
        <v>432</v>
      </c>
      <c r="C3" s="6" t="str">
        <f t="shared" ref="C3:C66" si="0">DEC2HEX(B3,4)</f>
        <v>01B0</v>
      </c>
      <c r="E3" s="1" t="s">
        <v>132</v>
      </c>
      <c r="F3" s="1" t="s">
        <v>230</v>
      </c>
      <c r="G3" s="1" t="s">
        <v>231</v>
      </c>
      <c r="H3" s="1" t="s">
        <v>232</v>
      </c>
      <c r="I3" s="13"/>
    </row>
    <row r="4" s="1" customFormat="1" spans="1:9">
      <c r="A4" s="1">
        <v>2</v>
      </c>
      <c r="B4" s="6">
        <f>$B$2+A4-1</f>
        <v>433</v>
      </c>
      <c r="C4" s="6" t="str">
        <f t="shared" si="0"/>
        <v>01B1</v>
      </c>
      <c r="E4" s="1" t="s">
        <v>132</v>
      </c>
      <c r="F4" s="1" t="s">
        <v>233</v>
      </c>
      <c r="G4" s="1" t="s">
        <v>231</v>
      </c>
      <c r="H4" s="1" t="s">
        <v>234</v>
      </c>
      <c r="I4" s="13"/>
    </row>
    <row r="5" s="1" customFormat="1" spans="1:9">
      <c r="A5" s="1">
        <v>3</v>
      </c>
      <c r="B5" s="6">
        <f>$B$2+A5-1</f>
        <v>434</v>
      </c>
      <c r="C5" s="6" t="str">
        <f t="shared" si="0"/>
        <v>01B2</v>
      </c>
      <c r="E5" s="1" t="s">
        <v>132</v>
      </c>
      <c r="F5" s="1" t="s">
        <v>235</v>
      </c>
      <c r="G5" s="1" t="s">
        <v>231</v>
      </c>
      <c r="H5" s="1" t="s">
        <v>236</v>
      </c>
      <c r="I5" s="13"/>
    </row>
    <row r="6" s="1" customFormat="1" spans="1:9">
      <c r="A6" s="1">
        <v>4</v>
      </c>
      <c r="B6" s="6">
        <f>$B$2+A6-1</f>
        <v>435</v>
      </c>
      <c r="C6" s="6" t="str">
        <f t="shared" si="0"/>
        <v>01B3</v>
      </c>
      <c r="E6" s="1" t="s">
        <v>132</v>
      </c>
      <c r="F6" s="1" t="s">
        <v>237</v>
      </c>
      <c r="G6" s="1" t="s">
        <v>231</v>
      </c>
      <c r="H6" s="1" t="s">
        <v>364</v>
      </c>
      <c r="I6" s="13"/>
    </row>
    <row r="7" s="1" customFormat="1" spans="1:9">
      <c r="A7" s="1">
        <v>5</v>
      </c>
      <c r="B7" s="6">
        <f>$B$2+A7-1</f>
        <v>436</v>
      </c>
      <c r="C7" s="6" t="str">
        <f t="shared" si="0"/>
        <v>01B4</v>
      </c>
      <c r="E7" s="1" t="s">
        <v>132</v>
      </c>
      <c r="F7" s="1" t="s">
        <v>411</v>
      </c>
      <c r="G7" s="1" t="s">
        <v>231</v>
      </c>
      <c r="H7" s="1" t="s">
        <v>364</v>
      </c>
      <c r="I7" s="13"/>
    </row>
    <row r="8" s="1" customFormat="1" spans="1:9">
      <c r="A8" s="1">
        <v>6</v>
      </c>
      <c r="B8" s="6">
        <f>$B$2+A8-1</f>
        <v>437</v>
      </c>
      <c r="C8" s="6" t="str">
        <f t="shared" si="0"/>
        <v>01B5</v>
      </c>
      <c r="I8" s="13"/>
    </row>
    <row r="9" s="1" customFormat="1" spans="1:9">
      <c r="A9" s="1">
        <v>7</v>
      </c>
      <c r="B9" s="6">
        <f>$B$2+A9-1</f>
        <v>438</v>
      </c>
      <c r="C9" s="6" t="str">
        <f t="shared" si="0"/>
        <v>01B6</v>
      </c>
      <c r="I9" s="13"/>
    </row>
    <row r="10" s="1" customFormat="1" spans="1:9">
      <c r="A10" s="1">
        <v>8</v>
      </c>
      <c r="B10" s="6">
        <f>$B$2+A10-1</f>
        <v>439</v>
      </c>
      <c r="C10" s="6" t="str">
        <f t="shared" si="0"/>
        <v>01B7</v>
      </c>
      <c r="E10" s="1" t="s">
        <v>132</v>
      </c>
      <c r="F10" s="1" t="s">
        <v>412</v>
      </c>
      <c r="G10" s="1" t="s">
        <v>114</v>
      </c>
      <c r="H10" s="1" t="s">
        <v>413</v>
      </c>
      <c r="I10" s="13"/>
    </row>
    <row r="11" s="1" customFormat="1" spans="1:9">
      <c r="A11" s="1">
        <v>9</v>
      </c>
      <c r="B11" s="6">
        <f>$B$2+A11-1</f>
        <v>440</v>
      </c>
      <c r="C11" s="6" t="str">
        <f t="shared" si="0"/>
        <v>01B8</v>
      </c>
      <c r="E11" s="1" t="s">
        <v>132</v>
      </c>
      <c r="F11" s="1" t="s">
        <v>414</v>
      </c>
      <c r="G11" s="1" t="s">
        <v>114</v>
      </c>
      <c r="H11" s="1" t="s">
        <v>413</v>
      </c>
      <c r="I11" s="13"/>
    </row>
    <row r="12" s="1" customFormat="1" spans="1:9">
      <c r="A12" s="1">
        <v>10</v>
      </c>
      <c r="B12" s="6">
        <f>$B$2+A12-1</f>
        <v>441</v>
      </c>
      <c r="C12" s="6" t="str">
        <f t="shared" si="0"/>
        <v>01B9</v>
      </c>
      <c r="E12" s="1" t="s">
        <v>132</v>
      </c>
      <c r="F12" s="1" t="s">
        <v>415</v>
      </c>
      <c r="G12" s="1" t="s">
        <v>114</v>
      </c>
      <c r="H12" s="1" t="s">
        <v>413</v>
      </c>
      <c r="I12" s="13"/>
    </row>
    <row r="13" s="1" customFormat="1" spans="1:9">
      <c r="A13" s="1">
        <v>11</v>
      </c>
      <c r="B13" s="6">
        <f>$B$2+A13-1</f>
        <v>442</v>
      </c>
      <c r="C13" s="6" t="str">
        <f t="shared" si="0"/>
        <v>01BA</v>
      </c>
      <c r="E13" s="1" t="s">
        <v>132</v>
      </c>
      <c r="F13" s="1" t="s">
        <v>416</v>
      </c>
      <c r="G13" s="1" t="s">
        <v>114</v>
      </c>
      <c r="H13" s="1" t="s">
        <v>413</v>
      </c>
      <c r="I13" s="13"/>
    </row>
    <row r="14" s="1" customFormat="1" spans="1:9">
      <c r="A14" s="1">
        <v>12</v>
      </c>
      <c r="B14" s="6">
        <f>$B$2+A14-1</f>
        <v>443</v>
      </c>
      <c r="C14" s="6" t="str">
        <f t="shared" si="0"/>
        <v>01BB</v>
      </c>
      <c r="E14" s="1" t="s">
        <v>132</v>
      </c>
      <c r="F14" s="1" t="s">
        <v>417</v>
      </c>
      <c r="G14" s="1" t="s">
        <v>114</v>
      </c>
      <c r="H14" s="1" t="s">
        <v>413</v>
      </c>
      <c r="I14" s="13"/>
    </row>
    <row r="15" s="1" customFormat="1" spans="1:9">
      <c r="A15" s="1">
        <v>13</v>
      </c>
      <c r="B15" s="6">
        <f>$B$2+A15-1</f>
        <v>444</v>
      </c>
      <c r="C15" s="6" t="str">
        <f t="shared" si="0"/>
        <v>01BC</v>
      </c>
      <c r="E15" s="1" t="s">
        <v>132</v>
      </c>
      <c r="F15" s="1" t="s">
        <v>418</v>
      </c>
      <c r="G15" s="1" t="s">
        <v>114</v>
      </c>
      <c r="H15" s="1" t="s">
        <v>413</v>
      </c>
      <c r="I15" s="13"/>
    </row>
    <row r="16" s="1" customFormat="1" spans="1:9">
      <c r="A16" s="1">
        <v>14</v>
      </c>
      <c r="B16" s="6">
        <f>$B$2+A16-1</f>
        <v>445</v>
      </c>
      <c r="C16" s="6" t="str">
        <f t="shared" si="0"/>
        <v>01BD</v>
      </c>
      <c r="E16" s="1" t="s">
        <v>132</v>
      </c>
      <c r="F16" s="1" t="s">
        <v>419</v>
      </c>
      <c r="G16" s="1" t="s">
        <v>114</v>
      </c>
      <c r="H16" s="1" t="s">
        <v>413</v>
      </c>
      <c r="I16" s="13"/>
    </row>
    <row r="17" s="1" customFormat="1" spans="1:9">
      <c r="A17" s="1">
        <v>15</v>
      </c>
      <c r="B17" s="6">
        <f>$B$2+A17-1</f>
        <v>446</v>
      </c>
      <c r="C17" s="6" t="str">
        <f t="shared" si="0"/>
        <v>01BE</v>
      </c>
      <c r="E17" s="1" t="s">
        <v>132</v>
      </c>
      <c r="F17" s="1" t="s">
        <v>420</v>
      </c>
      <c r="G17" s="1" t="s">
        <v>114</v>
      </c>
      <c r="H17" s="1" t="s">
        <v>413</v>
      </c>
      <c r="I17" s="13"/>
    </row>
    <row r="18" spans="1:8">
      <c r="A18" s="1">
        <v>16</v>
      </c>
      <c r="B18" s="6">
        <f>$B$2+A18-1</f>
        <v>447</v>
      </c>
      <c r="C18" s="6" t="str">
        <f t="shared" si="0"/>
        <v>01BF</v>
      </c>
      <c r="E18" s="1" t="s">
        <v>132</v>
      </c>
      <c r="F18" s="1" t="s">
        <v>421</v>
      </c>
      <c r="G18" s="1" t="s">
        <v>114</v>
      </c>
      <c r="H18" s="1" t="s">
        <v>413</v>
      </c>
    </row>
    <row r="19" spans="1:8">
      <c r="A19" s="1">
        <v>17</v>
      </c>
      <c r="B19" s="6">
        <f>$B$2+A19-1</f>
        <v>448</v>
      </c>
      <c r="C19" s="6" t="str">
        <f t="shared" si="0"/>
        <v>01C0</v>
      </c>
      <c r="E19" s="1" t="s">
        <v>132</v>
      </c>
      <c r="F19" s="1" t="s">
        <v>422</v>
      </c>
      <c r="G19" s="1" t="s">
        <v>114</v>
      </c>
      <c r="H19" s="1" t="s">
        <v>413</v>
      </c>
    </row>
    <row r="20" spans="1:8">
      <c r="A20" s="1">
        <v>18</v>
      </c>
      <c r="B20" s="6">
        <f>$B$2+A20-1</f>
        <v>449</v>
      </c>
      <c r="C20" s="6" t="str">
        <f t="shared" si="0"/>
        <v>01C1</v>
      </c>
      <c r="E20" s="1" t="s">
        <v>132</v>
      </c>
      <c r="F20" s="1" t="s">
        <v>423</v>
      </c>
      <c r="G20" s="1" t="s">
        <v>114</v>
      </c>
      <c r="H20" s="1" t="s">
        <v>413</v>
      </c>
    </row>
    <row r="21" spans="1:8">
      <c r="A21" s="1">
        <v>19</v>
      </c>
      <c r="B21" s="6">
        <f>$B$2+A21-1</f>
        <v>450</v>
      </c>
      <c r="C21" s="6" t="str">
        <f t="shared" si="0"/>
        <v>01C2</v>
      </c>
      <c r="E21" s="1" t="s">
        <v>132</v>
      </c>
      <c r="F21" s="1" t="s">
        <v>424</v>
      </c>
      <c r="G21" s="1" t="s">
        <v>114</v>
      </c>
      <c r="H21" s="1" t="s">
        <v>413</v>
      </c>
    </row>
    <row r="22" spans="1:8">
      <c r="A22" s="1">
        <v>20</v>
      </c>
      <c r="B22" s="6">
        <f>$B$2+A22-1</f>
        <v>451</v>
      </c>
      <c r="C22" s="6" t="str">
        <f t="shared" si="0"/>
        <v>01C3</v>
      </c>
      <c r="E22" s="1" t="s">
        <v>132</v>
      </c>
      <c r="F22" s="1" t="s">
        <v>425</v>
      </c>
      <c r="G22" s="1" t="s">
        <v>114</v>
      </c>
      <c r="H22" s="1" t="s">
        <v>413</v>
      </c>
    </row>
    <row r="23" spans="1:8">
      <c r="A23" s="1">
        <v>21</v>
      </c>
      <c r="B23" s="6">
        <f>$B$2+A23-1</f>
        <v>452</v>
      </c>
      <c r="C23" s="6" t="str">
        <f t="shared" si="0"/>
        <v>01C4</v>
      </c>
      <c r="E23" s="1" t="s">
        <v>132</v>
      </c>
      <c r="F23" s="1" t="s">
        <v>426</v>
      </c>
      <c r="G23" s="1" t="s">
        <v>114</v>
      </c>
      <c r="H23" s="1" t="s">
        <v>413</v>
      </c>
    </row>
    <row r="24" spans="1:8">
      <c r="A24" s="1">
        <v>22</v>
      </c>
      <c r="B24" s="6">
        <f>$B$2+A24-1</f>
        <v>453</v>
      </c>
      <c r="C24" s="6" t="str">
        <f t="shared" si="0"/>
        <v>01C5</v>
      </c>
      <c r="E24" s="1" t="s">
        <v>132</v>
      </c>
      <c r="F24" s="1" t="s">
        <v>427</v>
      </c>
      <c r="G24" s="1" t="s">
        <v>114</v>
      </c>
      <c r="H24" s="1" t="s">
        <v>413</v>
      </c>
    </row>
    <row r="25" spans="1:8">
      <c r="A25" s="1">
        <v>23</v>
      </c>
      <c r="B25" s="6">
        <f>$B$2+A25-1</f>
        <v>454</v>
      </c>
      <c r="C25" s="6" t="str">
        <f t="shared" si="0"/>
        <v>01C6</v>
      </c>
      <c r="E25" s="1" t="s">
        <v>132</v>
      </c>
      <c r="F25" s="1" t="s">
        <v>428</v>
      </c>
      <c r="G25" s="1" t="s">
        <v>114</v>
      </c>
      <c r="H25" s="1" t="s">
        <v>413</v>
      </c>
    </row>
    <row r="26" spans="1:3">
      <c r="A26" s="1">
        <v>24</v>
      </c>
      <c r="B26" s="6">
        <f>$B$2+A26-1</f>
        <v>455</v>
      </c>
      <c r="C26" s="6" t="str">
        <f t="shared" si="0"/>
        <v>01C7</v>
      </c>
    </row>
    <row r="27" spans="1:3">
      <c r="A27" s="1">
        <v>25</v>
      </c>
      <c r="B27" s="6">
        <f>$B$2+A27-1</f>
        <v>456</v>
      </c>
      <c r="C27" s="6" t="str">
        <f t="shared" si="0"/>
        <v>01C8</v>
      </c>
    </row>
    <row r="28" spans="1:3">
      <c r="A28" s="1">
        <v>26</v>
      </c>
      <c r="B28" s="6">
        <f>$B$2+A28-1</f>
        <v>457</v>
      </c>
      <c r="C28" s="6" t="str">
        <f t="shared" si="0"/>
        <v>01C9</v>
      </c>
    </row>
    <row r="29" spans="1:3">
      <c r="A29" s="1">
        <v>27</v>
      </c>
      <c r="B29" s="6">
        <f>$B$2+A29-1</f>
        <v>458</v>
      </c>
      <c r="C29" s="6" t="str">
        <f t="shared" si="0"/>
        <v>01CA</v>
      </c>
    </row>
    <row r="30" spans="1:3">
      <c r="A30" s="1">
        <v>28</v>
      </c>
      <c r="B30" s="6">
        <f>$B$2+A30-1</f>
        <v>459</v>
      </c>
      <c r="C30" s="6" t="str">
        <f t="shared" si="0"/>
        <v>01CB</v>
      </c>
    </row>
    <row r="31" spans="1:3">
      <c r="A31" s="1">
        <v>29</v>
      </c>
      <c r="B31" s="6">
        <f>$B$2+A31-1</f>
        <v>460</v>
      </c>
      <c r="C31" s="6" t="str">
        <f t="shared" si="0"/>
        <v>01CC</v>
      </c>
    </row>
    <row r="32" spans="1:3">
      <c r="A32" s="1">
        <v>30</v>
      </c>
      <c r="B32" s="6">
        <f>$B$2+A32-1</f>
        <v>461</v>
      </c>
      <c r="C32" s="6" t="str">
        <f t="shared" si="0"/>
        <v>01CD</v>
      </c>
    </row>
    <row r="33" spans="1:3">
      <c r="A33" s="1">
        <v>31</v>
      </c>
      <c r="B33" s="6">
        <f>$B$2+A33-1</f>
        <v>462</v>
      </c>
      <c r="C33" s="6" t="str">
        <f t="shared" si="0"/>
        <v>01CE</v>
      </c>
    </row>
    <row r="34" spans="1:3">
      <c r="A34" s="1">
        <v>32</v>
      </c>
      <c r="B34" s="6">
        <f>$B$2+A34-1</f>
        <v>463</v>
      </c>
      <c r="C34" s="6" t="str">
        <f t="shared" si="0"/>
        <v>01CF</v>
      </c>
    </row>
    <row r="35" spans="1:8">
      <c r="A35" s="1">
        <v>33</v>
      </c>
      <c r="B35" s="6">
        <f>$B$2+A35-1</f>
        <v>464</v>
      </c>
      <c r="C35" s="6" t="str">
        <f t="shared" si="0"/>
        <v>01D0</v>
      </c>
      <c r="E35" s="1" t="s">
        <v>132</v>
      </c>
      <c r="F35" s="1" t="s">
        <v>250</v>
      </c>
      <c r="G35" s="1" t="s">
        <v>231</v>
      </c>
      <c r="H35" s="1" t="s">
        <v>232</v>
      </c>
    </row>
    <row r="36" spans="1:8">
      <c r="A36" s="1">
        <v>34</v>
      </c>
      <c r="B36" s="6">
        <f>$B$2+A36-1</f>
        <v>465</v>
      </c>
      <c r="C36" s="6" t="str">
        <f t="shared" si="0"/>
        <v>01D1</v>
      </c>
      <c r="E36" s="1" t="s">
        <v>132</v>
      </c>
      <c r="F36" s="1" t="s">
        <v>251</v>
      </c>
      <c r="G36" s="1" t="s">
        <v>231</v>
      </c>
      <c r="H36" s="1" t="s">
        <v>234</v>
      </c>
    </row>
    <row r="37" spans="1:8">
      <c r="A37" s="1">
        <v>35</v>
      </c>
      <c r="B37" s="6">
        <f>$B$2+A37-1</f>
        <v>466</v>
      </c>
      <c r="C37" s="6" t="str">
        <f t="shared" si="0"/>
        <v>01D2</v>
      </c>
      <c r="E37" s="1" t="s">
        <v>132</v>
      </c>
      <c r="F37" s="1" t="s">
        <v>252</v>
      </c>
      <c r="G37" s="1" t="s">
        <v>231</v>
      </c>
      <c r="H37" s="1" t="s">
        <v>236</v>
      </c>
    </row>
    <row r="38" spans="1:8">
      <c r="A38" s="1">
        <v>36</v>
      </c>
      <c r="B38" s="6">
        <f>$B$2+A38-1</f>
        <v>467</v>
      </c>
      <c r="C38" s="6" t="str">
        <f t="shared" si="0"/>
        <v>01D3</v>
      </c>
      <c r="E38" s="1" t="s">
        <v>132</v>
      </c>
      <c r="F38" s="1" t="s">
        <v>253</v>
      </c>
      <c r="G38" s="1" t="s">
        <v>231</v>
      </c>
      <c r="H38" s="1" t="s">
        <v>364</v>
      </c>
    </row>
    <row r="39" spans="1:8">
      <c r="A39" s="1">
        <v>37</v>
      </c>
      <c r="B39" s="6">
        <f>$B$2+A39-1</f>
        <v>468</v>
      </c>
      <c r="C39" s="6" t="str">
        <f t="shared" si="0"/>
        <v>01D4</v>
      </c>
      <c r="E39" s="1" t="s">
        <v>132</v>
      </c>
      <c r="F39" s="1" t="s">
        <v>429</v>
      </c>
      <c r="G39" s="1" t="s">
        <v>231</v>
      </c>
      <c r="H39" s="1" t="s">
        <v>364</v>
      </c>
    </row>
    <row r="40" spans="1:8">
      <c r="A40" s="1">
        <v>38</v>
      </c>
      <c r="B40" s="6">
        <f>$B$2+A40-1</f>
        <v>469</v>
      </c>
      <c r="C40" s="6" t="str">
        <f t="shared" si="0"/>
        <v>01D5</v>
      </c>
      <c r="E40" s="1"/>
      <c r="F40" s="1"/>
      <c r="G40" s="1"/>
      <c r="H40" s="1"/>
    </row>
    <row r="41" spans="1:8">
      <c r="A41" s="1">
        <v>39</v>
      </c>
      <c r="B41" s="6">
        <f>$B$2+A41-1</f>
        <v>470</v>
      </c>
      <c r="C41" s="6" t="str">
        <f t="shared" si="0"/>
        <v>01D6</v>
      </c>
      <c r="E41" s="1"/>
      <c r="F41" s="1"/>
      <c r="G41" s="1"/>
      <c r="H41" s="1"/>
    </row>
    <row r="42" spans="1:8">
      <c r="A42" s="1">
        <v>40</v>
      </c>
      <c r="B42" s="6">
        <f>$B$2+A42-1</f>
        <v>471</v>
      </c>
      <c r="C42" s="6" t="str">
        <f t="shared" si="0"/>
        <v>01D7</v>
      </c>
      <c r="E42" s="1" t="s">
        <v>132</v>
      </c>
      <c r="F42" s="1" t="s">
        <v>430</v>
      </c>
      <c r="G42" s="1" t="s">
        <v>114</v>
      </c>
      <c r="H42" s="1" t="s">
        <v>413</v>
      </c>
    </row>
    <row r="43" spans="1:8">
      <c r="A43" s="1">
        <v>41</v>
      </c>
      <c r="B43" s="6">
        <f>$B$2+A43-1</f>
        <v>472</v>
      </c>
      <c r="C43" s="6" t="str">
        <f t="shared" si="0"/>
        <v>01D8</v>
      </c>
      <c r="E43" s="1" t="s">
        <v>132</v>
      </c>
      <c r="F43" s="1" t="s">
        <v>431</v>
      </c>
      <c r="G43" s="1" t="s">
        <v>114</v>
      </c>
      <c r="H43" s="1" t="s">
        <v>413</v>
      </c>
    </row>
    <row r="44" spans="1:8">
      <c r="A44" s="1">
        <v>42</v>
      </c>
      <c r="B44" s="6">
        <f>$B$2+A44-1</f>
        <v>473</v>
      </c>
      <c r="C44" s="6" t="str">
        <f t="shared" si="0"/>
        <v>01D9</v>
      </c>
      <c r="E44" s="1" t="s">
        <v>132</v>
      </c>
      <c r="F44" s="1" t="s">
        <v>432</v>
      </c>
      <c r="G44" s="1" t="s">
        <v>114</v>
      </c>
      <c r="H44" s="1" t="s">
        <v>413</v>
      </c>
    </row>
    <row r="45" spans="1:8">
      <c r="A45" s="1">
        <v>43</v>
      </c>
      <c r="B45" s="6">
        <f>$B$2+A45-1</f>
        <v>474</v>
      </c>
      <c r="C45" s="6" t="str">
        <f t="shared" si="0"/>
        <v>01DA</v>
      </c>
      <c r="E45" s="1" t="s">
        <v>132</v>
      </c>
      <c r="F45" s="1" t="s">
        <v>433</v>
      </c>
      <c r="G45" s="1" t="s">
        <v>114</v>
      </c>
      <c r="H45" s="1" t="s">
        <v>413</v>
      </c>
    </row>
    <row r="46" spans="1:8">
      <c r="A46" s="1">
        <v>44</v>
      </c>
      <c r="B46" s="6">
        <f>$B$2+A46-1</f>
        <v>475</v>
      </c>
      <c r="C46" s="6" t="str">
        <f t="shared" si="0"/>
        <v>01DB</v>
      </c>
      <c r="E46" s="1" t="s">
        <v>132</v>
      </c>
      <c r="F46" s="1" t="s">
        <v>434</v>
      </c>
      <c r="G46" s="1" t="s">
        <v>114</v>
      </c>
      <c r="H46" s="1" t="s">
        <v>413</v>
      </c>
    </row>
    <row r="47" spans="1:8">
      <c r="A47" s="1">
        <v>45</v>
      </c>
      <c r="B47" s="6">
        <f>$B$2+A47-1</f>
        <v>476</v>
      </c>
      <c r="C47" s="6" t="str">
        <f t="shared" si="0"/>
        <v>01DC</v>
      </c>
      <c r="E47" s="1" t="s">
        <v>132</v>
      </c>
      <c r="F47" s="1" t="s">
        <v>435</v>
      </c>
      <c r="G47" s="1" t="s">
        <v>114</v>
      </c>
      <c r="H47" s="1" t="s">
        <v>413</v>
      </c>
    </row>
    <row r="48" spans="1:8">
      <c r="A48" s="1">
        <v>46</v>
      </c>
      <c r="B48" s="6">
        <f>$B$2+A48-1</f>
        <v>477</v>
      </c>
      <c r="C48" s="6" t="str">
        <f t="shared" si="0"/>
        <v>01DD</v>
      </c>
      <c r="E48" s="1" t="s">
        <v>132</v>
      </c>
      <c r="F48" s="1" t="s">
        <v>436</v>
      </c>
      <c r="G48" s="1" t="s">
        <v>114</v>
      </c>
      <c r="H48" s="1" t="s">
        <v>413</v>
      </c>
    </row>
    <row r="49" spans="1:8">
      <c r="A49" s="1">
        <v>47</v>
      </c>
      <c r="B49" s="6">
        <f>$B$2+A49-1</f>
        <v>478</v>
      </c>
      <c r="C49" s="6" t="str">
        <f t="shared" si="0"/>
        <v>01DE</v>
      </c>
      <c r="E49" s="1" t="s">
        <v>132</v>
      </c>
      <c r="F49" s="1" t="s">
        <v>437</v>
      </c>
      <c r="G49" s="1" t="s">
        <v>114</v>
      </c>
      <c r="H49" s="1" t="s">
        <v>413</v>
      </c>
    </row>
    <row r="50" spans="1:8">
      <c r="A50" s="1">
        <v>48</v>
      </c>
      <c r="B50" s="6">
        <f>$B$2+A50-1</f>
        <v>479</v>
      </c>
      <c r="C50" s="6" t="str">
        <f t="shared" si="0"/>
        <v>01DF</v>
      </c>
      <c r="E50" s="1" t="s">
        <v>132</v>
      </c>
      <c r="F50" s="1" t="s">
        <v>438</v>
      </c>
      <c r="G50" s="1" t="s">
        <v>114</v>
      </c>
      <c r="H50" s="1" t="s">
        <v>413</v>
      </c>
    </row>
    <row r="51" spans="1:8">
      <c r="A51" s="1">
        <v>49</v>
      </c>
      <c r="B51" s="6">
        <f>$B$2+A51-1</f>
        <v>480</v>
      </c>
      <c r="C51" s="6" t="str">
        <f t="shared" si="0"/>
        <v>01E0</v>
      </c>
      <c r="E51" s="1" t="s">
        <v>132</v>
      </c>
      <c r="F51" s="1" t="s">
        <v>439</v>
      </c>
      <c r="G51" s="1" t="s">
        <v>114</v>
      </c>
      <c r="H51" s="1" t="s">
        <v>413</v>
      </c>
    </row>
    <row r="52" spans="1:8">
      <c r="A52" s="1">
        <v>50</v>
      </c>
      <c r="B52" s="6">
        <f>$B$2+A52-1</f>
        <v>481</v>
      </c>
      <c r="C52" s="6" t="str">
        <f t="shared" si="0"/>
        <v>01E1</v>
      </c>
      <c r="E52" s="1" t="s">
        <v>132</v>
      </c>
      <c r="F52" s="1" t="s">
        <v>440</v>
      </c>
      <c r="G52" s="1" t="s">
        <v>114</v>
      </c>
      <c r="H52" s="1" t="s">
        <v>413</v>
      </c>
    </row>
    <row r="53" spans="1:8">
      <c r="A53" s="1">
        <v>51</v>
      </c>
      <c r="B53" s="6">
        <f>$B$2+A53-1</f>
        <v>482</v>
      </c>
      <c r="C53" s="6" t="str">
        <f t="shared" si="0"/>
        <v>01E2</v>
      </c>
      <c r="E53" s="1" t="s">
        <v>132</v>
      </c>
      <c r="F53" s="1" t="s">
        <v>441</v>
      </c>
      <c r="G53" s="1" t="s">
        <v>114</v>
      </c>
      <c r="H53" s="1" t="s">
        <v>413</v>
      </c>
    </row>
    <row r="54" spans="1:8">
      <c r="A54" s="1">
        <v>52</v>
      </c>
      <c r="B54" s="6">
        <f>$B$2+A54-1</f>
        <v>483</v>
      </c>
      <c r="C54" s="6" t="str">
        <f t="shared" si="0"/>
        <v>01E3</v>
      </c>
      <c r="E54" s="1" t="s">
        <v>132</v>
      </c>
      <c r="F54" s="1" t="s">
        <v>442</v>
      </c>
      <c r="G54" s="1" t="s">
        <v>114</v>
      </c>
      <c r="H54" s="1" t="s">
        <v>413</v>
      </c>
    </row>
    <row r="55" spans="1:8">
      <c r="A55" s="1">
        <v>53</v>
      </c>
      <c r="B55" s="6">
        <f>$B$2+A55-1</f>
        <v>484</v>
      </c>
      <c r="C55" s="6" t="str">
        <f t="shared" si="0"/>
        <v>01E4</v>
      </c>
      <c r="E55" s="1" t="s">
        <v>132</v>
      </c>
      <c r="F55" s="1" t="s">
        <v>443</v>
      </c>
      <c r="G55" s="1" t="s">
        <v>114</v>
      </c>
      <c r="H55" s="1" t="s">
        <v>413</v>
      </c>
    </row>
    <row r="56" spans="1:8">
      <c r="A56" s="1">
        <v>54</v>
      </c>
      <c r="B56" s="6">
        <f>$B$2+A56-1</f>
        <v>485</v>
      </c>
      <c r="C56" s="6" t="str">
        <f t="shared" si="0"/>
        <v>01E5</v>
      </c>
      <c r="E56" s="1" t="s">
        <v>132</v>
      </c>
      <c r="F56" s="1" t="s">
        <v>444</v>
      </c>
      <c r="G56" s="1" t="s">
        <v>114</v>
      </c>
      <c r="H56" s="1" t="s">
        <v>413</v>
      </c>
    </row>
    <row r="57" spans="1:8">
      <c r="A57" s="1">
        <v>55</v>
      </c>
      <c r="B57" s="6">
        <f>$B$2+A57-1</f>
        <v>486</v>
      </c>
      <c r="C57" s="6" t="str">
        <f t="shared" si="0"/>
        <v>01E6</v>
      </c>
      <c r="E57" s="1" t="s">
        <v>132</v>
      </c>
      <c r="F57" s="1" t="s">
        <v>445</v>
      </c>
      <c r="G57" s="1" t="s">
        <v>114</v>
      </c>
      <c r="H57" s="1" t="s">
        <v>413</v>
      </c>
    </row>
    <row r="58" spans="1:3">
      <c r="A58" s="1">
        <v>56</v>
      </c>
      <c r="B58" s="6">
        <f>$B$2+A58-1</f>
        <v>487</v>
      </c>
      <c r="C58" s="6" t="str">
        <f t="shared" si="0"/>
        <v>01E7</v>
      </c>
    </row>
    <row r="59" spans="1:3">
      <c r="A59" s="1">
        <v>57</v>
      </c>
      <c r="B59" s="6">
        <f>$B$2+A59-1</f>
        <v>488</v>
      </c>
      <c r="C59" s="6" t="str">
        <f t="shared" si="0"/>
        <v>01E8</v>
      </c>
    </row>
    <row r="60" spans="1:3">
      <c r="A60" s="1">
        <v>58</v>
      </c>
      <c r="B60" s="6">
        <f>$B$2+A60-1</f>
        <v>489</v>
      </c>
      <c r="C60" s="6" t="str">
        <f t="shared" si="0"/>
        <v>01E9</v>
      </c>
    </row>
    <row r="61" spans="1:3">
      <c r="A61" s="1">
        <v>59</v>
      </c>
      <c r="B61" s="6">
        <f>$B$2+A61-1</f>
        <v>490</v>
      </c>
      <c r="C61" s="6" t="str">
        <f t="shared" si="0"/>
        <v>01EA</v>
      </c>
    </row>
    <row r="62" spans="1:3">
      <c r="A62" s="1">
        <v>60</v>
      </c>
      <c r="B62" s="6">
        <f>$B$2+A62-1</f>
        <v>491</v>
      </c>
      <c r="C62" s="6" t="str">
        <f t="shared" si="0"/>
        <v>01EB</v>
      </c>
    </row>
    <row r="63" spans="1:3">
      <c r="A63" s="1">
        <v>61</v>
      </c>
      <c r="B63" s="6">
        <f>$B$2+A63-1</f>
        <v>492</v>
      </c>
      <c r="C63" s="6" t="str">
        <f t="shared" si="0"/>
        <v>01EC</v>
      </c>
    </row>
    <row r="64" spans="1:3">
      <c r="A64" s="1">
        <v>62</v>
      </c>
      <c r="B64" s="6">
        <f>$B$2+A64-1</f>
        <v>493</v>
      </c>
      <c r="C64" s="6" t="str">
        <f t="shared" si="0"/>
        <v>01ED</v>
      </c>
    </row>
    <row r="65" spans="1:3">
      <c r="A65" s="1">
        <v>63</v>
      </c>
      <c r="B65" s="6">
        <f>$B$2+A65-1</f>
        <v>494</v>
      </c>
      <c r="C65" s="6" t="str">
        <f t="shared" si="0"/>
        <v>01EE</v>
      </c>
    </row>
    <row r="66" spans="1:3">
      <c r="A66" s="1">
        <v>64</v>
      </c>
      <c r="B66" s="6">
        <f>$B$2+A66-1</f>
        <v>495</v>
      </c>
      <c r="C66" s="6" t="str">
        <f t="shared" si="0"/>
        <v>01EF</v>
      </c>
    </row>
    <row r="67" spans="1:8">
      <c r="A67" s="1">
        <v>65</v>
      </c>
      <c r="B67" s="6">
        <f>$B$2+A67-1</f>
        <v>496</v>
      </c>
      <c r="C67" s="6" t="str">
        <f t="shared" ref="C67:C98" si="1">DEC2HEX(B67,4)</f>
        <v>01F0</v>
      </c>
      <c r="E67" s="1" t="s">
        <v>132</v>
      </c>
      <c r="F67" s="1" t="s">
        <v>264</v>
      </c>
      <c r="G67" s="1" t="s">
        <v>231</v>
      </c>
      <c r="H67" s="1" t="s">
        <v>232</v>
      </c>
    </row>
    <row r="68" spans="1:8">
      <c r="A68" s="1">
        <v>66</v>
      </c>
      <c r="B68" s="6">
        <f>$B$2+A68-1</f>
        <v>497</v>
      </c>
      <c r="C68" s="6" t="str">
        <f t="shared" si="1"/>
        <v>01F1</v>
      </c>
      <c r="E68" s="1" t="s">
        <v>132</v>
      </c>
      <c r="F68" s="1" t="s">
        <v>265</v>
      </c>
      <c r="G68" s="1" t="s">
        <v>231</v>
      </c>
      <c r="H68" s="1" t="s">
        <v>234</v>
      </c>
    </row>
    <row r="69" spans="1:8">
      <c r="A69" s="1">
        <v>67</v>
      </c>
      <c r="B69" s="6">
        <f>$B$2+A69-1</f>
        <v>498</v>
      </c>
      <c r="C69" s="6" t="str">
        <f t="shared" si="1"/>
        <v>01F2</v>
      </c>
      <c r="E69" s="1" t="s">
        <v>132</v>
      </c>
      <c r="F69" s="1" t="s">
        <v>266</v>
      </c>
      <c r="G69" s="1" t="s">
        <v>231</v>
      </c>
      <c r="H69" s="1" t="s">
        <v>236</v>
      </c>
    </row>
    <row r="70" spans="1:8">
      <c r="A70" s="1">
        <v>68</v>
      </c>
      <c r="B70" s="6">
        <f>$B$2+A70-1</f>
        <v>499</v>
      </c>
      <c r="C70" s="6" t="str">
        <f t="shared" si="1"/>
        <v>01F3</v>
      </c>
      <c r="E70" s="1" t="s">
        <v>132</v>
      </c>
      <c r="F70" s="1" t="s">
        <v>267</v>
      </c>
      <c r="G70" s="1" t="s">
        <v>231</v>
      </c>
      <c r="H70" s="1" t="s">
        <v>364</v>
      </c>
    </row>
    <row r="71" spans="1:8">
      <c r="A71" s="1">
        <v>69</v>
      </c>
      <c r="B71" s="6">
        <f>$B$2+A71-1</f>
        <v>500</v>
      </c>
      <c r="C71" s="6" t="str">
        <f t="shared" si="1"/>
        <v>01F4</v>
      </c>
      <c r="E71" s="1" t="s">
        <v>132</v>
      </c>
      <c r="F71" s="1" t="s">
        <v>446</v>
      </c>
      <c r="G71" s="1" t="s">
        <v>231</v>
      </c>
      <c r="H71" s="1" t="s">
        <v>364</v>
      </c>
    </row>
    <row r="72" spans="1:8">
      <c r="A72" s="1">
        <v>70</v>
      </c>
      <c r="B72" s="6">
        <f>$B$2+A72-1</f>
        <v>501</v>
      </c>
      <c r="C72" s="6" t="str">
        <f t="shared" si="1"/>
        <v>01F5</v>
      </c>
      <c r="E72" s="1"/>
      <c r="F72" s="1"/>
      <c r="G72" s="1"/>
      <c r="H72" s="1"/>
    </row>
    <row r="73" spans="1:8">
      <c r="A73" s="1">
        <v>71</v>
      </c>
      <c r="B73" s="6">
        <f>$B$2+A73-1</f>
        <v>502</v>
      </c>
      <c r="C73" s="6" t="str">
        <f t="shared" si="1"/>
        <v>01F6</v>
      </c>
      <c r="E73" s="1"/>
      <c r="F73" s="1"/>
      <c r="G73" s="1"/>
      <c r="H73" s="1"/>
    </row>
    <row r="74" spans="1:8">
      <c r="A74" s="1">
        <v>72</v>
      </c>
      <c r="B74" s="6">
        <f>$B$2+A74-1</f>
        <v>503</v>
      </c>
      <c r="C74" s="6" t="str">
        <f t="shared" si="1"/>
        <v>01F7</v>
      </c>
      <c r="E74" s="1" t="s">
        <v>132</v>
      </c>
      <c r="F74" s="1" t="s">
        <v>447</v>
      </c>
      <c r="G74" s="1" t="s">
        <v>114</v>
      </c>
      <c r="H74" s="1" t="s">
        <v>413</v>
      </c>
    </row>
    <row r="75" spans="1:8">
      <c r="A75" s="1">
        <v>73</v>
      </c>
      <c r="B75" s="6">
        <f>$B$2+A75-1</f>
        <v>504</v>
      </c>
      <c r="C75" s="6" t="str">
        <f t="shared" si="1"/>
        <v>01F8</v>
      </c>
      <c r="E75" s="1" t="s">
        <v>132</v>
      </c>
      <c r="F75" s="1" t="s">
        <v>448</v>
      </c>
      <c r="G75" s="1" t="s">
        <v>114</v>
      </c>
      <c r="H75" s="1" t="s">
        <v>413</v>
      </c>
    </row>
    <row r="76" spans="1:8">
      <c r="A76" s="1">
        <v>74</v>
      </c>
      <c r="B76" s="6">
        <f>$B$2+A76-1</f>
        <v>505</v>
      </c>
      <c r="C76" s="6" t="str">
        <f t="shared" si="1"/>
        <v>01F9</v>
      </c>
      <c r="E76" s="1" t="s">
        <v>132</v>
      </c>
      <c r="F76" s="1" t="s">
        <v>449</v>
      </c>
      <c r="G76" s="1" t="s">
        <v>114</v>
      </c>
      <c r="H76" s="1" t="s">
        <v>413</v>
      </c>
    </row>
    <row r="77" spans="1:8">
      <c r="A77" s="1">
        <v>75</v>
      </c>
      <c r="B77" s="6">
        <f>$B$2+A77-1</f>
        <v>506</v>
      </c>
      <c r="C77" s="6" t="str">
        <f t="shared" si="1"/>
        <v>01FA</v>
      </c>
      <c r="E77" s="1" t="s">
        <v>132</v>
      </c>
      <c r="F77" s="1" t="s">
        <v>450</v>
      </c>
      <c r="G77" s="1" t="s">
        <v>114</v>
      </c>
      <c r="H77" s="1" t="s">
        <v>413</v>
      </c>
    </row>
    <row r="78" spans="1:8">
      <c r="A78" s="1">
        <v>76</v>
      </c>
      <c r="B78" s="6">
        <f>$B$2+A78-1</f>
        <v>507</v>
      </c>
      <c r="C78" s="6" t="str">
        <f t="shared" si="1"/>
        <v>01FB</v>
      </c>
      <c r="E78" s="1" t="s">
        <v>132</v>
      </c>
      <c r="F78" s="1" t="s">
        <v>451</v>
      </c>
      <c r="G78" s="1" t="s">
        <v>114</v>
      </c>
      <c r="H78" s="1" t="s">
        <v>413</v>
      </c>
    </row>
    <row r="79" spans="1:8">
      <c r="A79" s="1">
        <v>77</v>
      </c>
      <c r="B79" s="6">
        <f>$B$2+A79-1</f>
        <v>508</v>
      </c>
      <c r="C79" s="6" t="str">
        <f t="shared" si="1"/>
        <v>01FC</v>
      </c>
      <c r="E79" s="1" t="s">
        <v>132</v>
      </c>
      <c r="F79" s="1" t="s">
        <v>452</v>
      </c>
      <c r="G79" s="1" t="s">
        <v>114</v>
      </c>
      <c r="H79" s="1" t="s">
        <v>413</v>
      </c>
    </row>
    <row r="80" spans="1:8">
      <c r="A80" s="1">
        <v>78</v>
      </c>
      <c r="B80" s="6">
        <f>$B$2+A80-1</f>
        <v>509</v>
      </c>
      <c r="C80" s="6" t="str">
        <f t="shared" si="1"/>
        <v>01FD</v>
      </c>
      <c r="E80" s="1" t="s">
        <v>132</v>
      </c>
      <c r="F80" s="1" t="s">
        <v>453</v>
      </c>
      <c r="G80" s="1" t="s">
        <v>114</v>
      </c>
      <c r="H80" s="1" t="s">
        <v>413</v>
      </c>
    </row>
    <row r="81" spans="1:8">
      <c r="A81" s="1">
        <v>79</v>
      </c>
      <c r="B81" s="6">
        <f>$B$2+A81-1</f>
        <v>510</v>
      </c>
      <c r="C81" s="6" t="str">
        <f t="shared" si="1"/>
        <v>01FE</v>
      </c>
      <c r="E81" s="1" t="s">
        <v>132</v>
      </c>
      <c r="F81" s="1" t="s">
        <v>454</v>
      </c>
      <c r="G81" s="1" t="s">
        <v>114</v>
      </c>
      <c r="H81" s="1" t="s">
        <v>413</v>
      </c>
    </row>
    <row r="82" spans="1:8">
      <c r="A82" s="1">
        <v>80</v>
      </c>
      <c r="B82" s="6">
        <f>$B$2+A82-1</f>
        <v>511</v>
      </c>
      <c r="C82" s="6" t="str">
        <f t="shared" si="1"/>
        <v>01FF</v>
      </c>
      <c r="E82" s="1" t="s">
        <v>132</v>
      </c>
      <c r="F82" s="1" t="s">
        <v>455</v>
      </c>
      <c r="G82" s="1" t="s">
        <v>114</v>
      </c>
      <c r="H82" s="1" t="s">
        <v>413</v>
      </c>
    </row>
    <row r="83" spans="1:8">
      <c r="A83" s="1">
        <v>81</v>
      </c>
      <c r="B83" s="6">
        <f>$B$2+A83-1</f>
        <v>512</v>
      </c>
      <c r="C83" s="6" t="str">
        <f t="shared" si="1"/>
        <v>0200</v>
      </c>
      <c r="E83" s="1" t="s">
        <v>132</v>
      </c>
      <c r="F83" s="1" t="s">
        <v>456</v>
      </c>
      <c r="G83" s="1" t="s">
        <v>114</v>
      </c>
      <c r="H83" s="1" t="s">
        <v>413</v>
      </c>
    </row>
    <row r="84" spans="1:8">
      <c r="A84" s="1">
        <v>82</v>
      </c>
      <c r="B84" s="6">
        <f>$B$2+A84-1</f>
        <v>513</v>
      </c>
      <c r="C84" s="6" t="str">
        <f t="shared" si="1"/>
        <v>0201</v>
      </c>
      <c r="E84" s="1" t="s">
        <v>132</v>
      </c>
      <c r="F84" s="1" t="s">
        <v>457</v>
      </c>
      <c r="G84" s="1" t="s">
        <v>114</v>
      </c>
      <c r="H84" s="1" t="s">
        <v>413</v>
      </c>
    </row>
    <row r="85" spans="1:8">
      <c r="A85" s="1">
        <v>83</v>
      </c>
      <c r="B85" s="6">
        <f>$B$2+A85-1</f>
        <v>514</v>
      </c>
      <c r="C85" s="6" t="str">
        <f t="shared" si="1"/>
        <v>0202</v>
      </c>
      <c r="E85" s="1" t="s">
        <v>132</v>
      </c>
      <c r="F85" s="1" t="s">
        <v>458</v>
      </c>
      <c r="G85" s="1" t="s">
        <v>114</v>
      </c>
      <c r="H85" s="1" t="s">
        <v>413</v>
      </c>
    </row>
    <row r="86" spans="1:8">
      <c r="A86" s="1">
        <v>84</v>
      </c>
      <c r="B86" s="6">
        <f>$B$2+A86-1</f>
        <v>515</v>
      </c>
      <c r="C86" s="6" t="str">
        <f t="shared" si="1"/>
        <v>0203</v>
      </c>
      <c r="E86" s="1" t="s">
        <v>132</v>
      </c>
      <c r="F86" s="1" t="s">
        <v>459</v>
      </c>
      <c r="G86" s="1" t="s">
        <v>114</v>
      </c>
      <c r="H86" s="1" t="s">
        <v>413</v>
      </c>
    </row>
    <row r="87" spans="1:8">
      <c r="A87" s="1">
        <v>85</v>
      </c>
      <c r="B87" s="6">
        <f>$B$2+A87-1</f>
        <v>516</v>
      </c>
      <c r="C87" s="6" t="str">
        <f t="shared" si="1"/>
        <v>0204</v>
      </c>
      <c r="E87" s="1" t="s">
        <v>132</v>
      </c>
      <c r="F87" s="1" t="s">
        <v>460</v>
      </c>
      <c r="G87" s="1" t="s">
        <v>114</v>
      </c>
      <c r="H87" s="1" t="s">
        <v>413</v>
      </c>
    </row>
    <row r="88" spans="1:8">
      <c r="A88" s="1">
        <v>86</v>
      </c>
      <c r="B88" s="6">
        <f>$B$2+A88-1</f>
        <v>517</v>
      </c>
      <c r="C88" s="6" t="str">
        <f t="shared" si="1"/>
        <v>0205</v>
      </c>
      <c r="E88" s="1" t="s">
        <v>132</v>
      </c>
      <c r="F88" s="1" t="s">
        <v>461</v>
      </c>
      <c r="G88" s="1" t="s">
        <v>114</v>
      </c>
      <c r="H88" s="1" t="s">
        <v>413</v>
      </c>
    </row>
    <row r="89" spans="1:8">
      <c r="A89" s="1">
        <v>87</v>
      </c>
      <c r="B89" s="6">
        <f>$B$2+A89-1</f>
        <v>518</v>
      </c>
      <c r="C89" s="6" t="str">
        <f t="shared" si="1"/>
        <v>0206</v>
      </c>
      <c r="E89" s="1" t="s">
        <v>132</v>
      </c>
      <c r="F89" s="1" t="s">
        <v>462</v>
      </c>
      <c r="G89" s="1" t="s">
        <v>114</v>
      </c>
      <c r="H89" s="1" t="s">
        <v>413</v>
      </c>
    </row>
    <row r="90" spans="1:3">
      <c r="A90" s="1">
        <v>88</v>
      </c>
      <c r="B90" s="6">
        <f>$B$2+A90-1</f>
        <v>519</v>
      </c>
      <c r="C90" s="6" t="str">
        <f t="shared" si="1"/>
        <v>0207</v>
      </c>
    </row>
    <row r="91" spans="1:3">
      <c r="A91" s="1">
        <v>89</v>
      </c>
      <c r="B91" s="6">
        <f>$B$2+A91-1</f>
        <v>520</v>
      </c>
      <c r="C91" s="6" t="str">
        <f t="shared" si="1"/>
        <v>0208</v>
      </c>
    </row>
    <row r="92" spans="1:3">
      <c r="A92" s="1">
        <v>90</v>
      </c>
      <c r="B92" s="6">
        <f>$B$2+A92-1</f>
        <v>521</v>
      </c>
      <c r="C92" s="6" t="str">
        <f t="shared" si="1"/>
        <v>0209</v>
      </c>
    </row>
    <row r="93" spans="1:3">
      <c r="A93" s="1">
        <v>91</v>
      </c>
      <c r="B93" s="6">
        <f>$B$2+A93-1</f>
        <v>522</v>
      </c>
      <c r="C93" s="6" t="str">
        <f t="shared" si="1"/>
        <v>020A</v>
      </c>
    </row>
    <row r="94" spans="1:3">
      <c r="A94" s="1">
        <v>92</v>
      </c>
      <c r="B94" s="6">
        <f>$B$2+A94-1</f>
        <v>523</v>
      </c>
      <c r="C94" s="6" t="str">
        <f t="shared" si="1"/>
        <v>020B</v>
      </c>
    </row>
    <row r="95" spans="1:3">
      <c r="A95" s="1">
        <v>93</v>
      </c>
      <c r="B95" s="6">
        <f>$B$2+A95-1</f>
        <v>524</v>
      </c>
      <c r="C95" s="6" t="str">
        <f t="shared" si="1"/>
        <v>020C</v>
      </c>
    </row>
    <row r="96" spans="1:3">
      <c r="A96" s="1">
        <v>94</v>
      </c>
      <c r="B96" s="6">
        <f>$B$2+A96-1</f>
        <v>525</v>
      </c>
      <c r="C96" s="6" t="str">
        <f t="shared" si="1"/>
        <v>020D</v>
      </c>
    </row>
    <row r="97" spans="1:3">
      <c r="A97" s="1">
        <v>95</v>
      </c>
      <c r="B97" s="6">
        <f>$B$2+A97-1</f>
        <v>526</v>
      </c>
      <c r="C97" s="6" t="str">
        <f t="shared" si="1"/>
        <v>020E</v>
      </c>
    </row>
    <row r="98" spans="1:3">
      <c r="A98" s="1">
        <v>96</v>
      </c>
      <c r="B98" s="6">
        <f>$B$2+A98-1</f>
        <v>527</v>
      </c>
      <c r="C98" s="6" t="str">
        <f t="shared" si="1"/>
        <v>020F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8"/>
  <dimension ref="A1:P82"/>
  <sheetViews>
    <sheetView workbookViewId="0">
      <selection activeCell="K30" sqref="K30"/>
    </sheetView>
  </sheetViews>
  <sheetFormatPr defaultColWidth="8.73636363636364" defaultRowHeight="14"/>
  <cols>
    <col min="1" max="1" width="5.55454545454545" customWidth="1"/>
    <col min="2" max="2" width="14" customWidth="1"/>
    <col min="3" max="3" width="5.55454545454545" customWidth="1"/>
    <col min="4" max="4" width="7.55454545454545" customWidth="1"/>
    <col min="5" max="5" width="5.55454545454545" customWidth="1"/>
    <col min="6" max="6" width="27.7363636363636" customWidth="1"/>
    <col min="7" max="7" width="18.5454545454545" style="34" customWidth="1"/>
    <col min="8" max="8" width="5.55454545454545" customWidth="1"/>
    <col min="9" max="9" width="22.8181818181818" customWidth="1"/>
    <col min="10" max="11" width="7.55454545454545" customWidth="1"/>
  </cols>
  <sheetData>
    <row r="1" spans="1:11">
      <c r="A1" s="33" t="s">
        <v>99</v>
      </c>
      <c r="B1" s="33" t="s">
        <v>100</v>
      </c>
      <c r="C1" s="33" t="s">
        <v>101</v>
      </c>
      <c r="D1" s="33" t="s">
        <v>102</v>
      </c>
      <c r="E1" s="33" t="s">
        <v>103</v>
      </c>
      <c r="F1" s="33" t="s">
        <v>104</v>
      </c>
      <c r="G1" s="33" t="s">
        <v>105</v>
      </c>
      <c r="H1" s="33" t="s">
        <v>106</v>
      </c>
      <c r="I1" s="33" t="s">
        <v>107</v>
      </c>
      <c r="J1" s="33" t="s">
        <v>108</v>
      </c>
      <c r="K1" s="33" t="s">
        <v>109</v>
      </c>
    </row>
    <row r="2" s="33" customFormat="1" spans="2:9">
      <c r="B2" s="33">
        <f>HEX2DEC(C2)</f>
        <v>528</v>
      </c>
      <c r="C2" s="33" t="s">
        <v>463</v>
      </c>
      <c r="F2" s="33" t="s">
        <v>464</v>
      </c>
      <c r="H2" s="35"/>
      <c r="I2" s="35"/>
    </row>
    <row r="3" s="65" customFormat="1" ht="56" spans="1:16">
      <c r="A3" s="65">
        <v>1</v>
      </c>
      <c r="B3" s="66">
        <f>$B$2+A3-1</f>
        <v>528</v>
      </c>
      <c r="C3" s="66" t="str">
        <f>DEC2HEX(B3,4)</f>
        <v>0210</v>
      </c>
      <c r="E3" s="63" t="s">
        <v>132</v>
      </c>
      <c r="F3" s="63" t="s">
        <v>344</v>
      </c>
      <c r="G3" s="63" t="s">
        <v>114</v>
      </c>
      <c r="H3" s="67"/>
      <c r="I3" s="67" t="s">
        <v>465</v>
      </c>
      <c r="J3" s="63"/>
      <c r="K3" s="63"/>
      <c r="L3" s="63"/>
      <c r="M3" s="63"/>
      <c r="N3" s="63"/>
      <c r="O3" s="63"/>
      <c r="P3" s="63"/>
    </row>
    <row r="4" s="65" customFormat="1" ht="42" spans="1:16">
      <c r="A4" s="65">
        <v>2</v>
      </c>
      <c r="B4" s="66">
        <f t="shared" ref="B4:B34" si="0">$B$2+A4-1</f>
        <v>529</v>
      </c>
      <c r="C4" s="66" t="str">
        <f t="shared" ref="C4:C34" si="1">DEC2HEX(B4,4)</f>
        <v>0211</v>
      </c>
      <c r="E4" s="63" t="s">
        <v>132</v>
      </c>
      <c r="F4" s="63" t="s">
        <v>466</v>
      </c>
      <c r="G4" s="63" t="s">
        <v>114</v>
      </c>
      <c r="H4" s="67"/>
      <c r="I4" s="67" t="s">
        <v>467</v>
      </c>
      <c r="J4" s="63"/>
      <c r="K4" s="63"/>
      <c r="L4" s="63"/>
      <c r="M4" s="63"/>
      <c r="N4" s="63"/>
      <c r="O4" s="63"/>
      <c r="P4" s="63"/>
    </row>
    <row r="5" s="33" customFormat="1" spans="1:16">
      <c r="A5" s="33">
        <v>3</v>
      </c>
      <c r="B5" s="34">
        <f t="shared" si="0"/>
        <v>530</v>
      </c>
      <c r="C5" s="34" t="str">
        <f t="shared" si="1"/>
        <v>0212</v>
      </c>
      <c r="E5" s="1"/>
      <c r="F5" s="1"/>
      <c r="G5" s="1"/>
      <c r="H5" s="1"/>
      <c r="I5" s="13"/>
      <c r="J5" s="1"/>
      <c r="K5" s="1"/>
      <c r="L5" s="1"/>
      <c r="M5" s="1"/>
      <c r="N5" s="1"/>
      <c r="O5" s="1"/>
      <c r="P5" s="1"/>
    </row>
    <row r="6" s="33" customFormat="1" spans="1:16">
      <c r="A6" s="33">
        <v>4</v>
      </c>
      <c r="B6" s="34">
        <f t="shared" si="0"/>
        <v>531</v>
      </c>
      <c r="C6" s="34" t="str">
        <f t="shared" si="1"/>
        <v>0213</v>
      </c>
      <c r="E6" s="1"/>
      <c r="F6" s="1"/>
      <c r="G6" s="1"/>
      <c r="H6" s="1"/>
      <c r="I6" s="13"/>
      <c r="J6" s="1"/>
      <c r="K6" s="1"/>
      <c r="L6" s="1"/>
      <c r="M6" s="1"/>
      <c r="N6" s="1"/>
      <c r="O6" s="1"/>
      <c r="P6" s="1"/>
    </row>
    <row r="7" s="33" customFormat="1" spans="1:16">
      <c r="A7" s="33">
        <v>5</v>
      </c>
      <c r="B7" s="34">
        <f t="shared" si="0"/>
        <v>532</v>
      </c>
      <c r="C7" s="34" t="str">
        <f t="shared" si="1"/>
        <v>0214</v>
      </c>
      <c r="E7" s="1"/>
      <c r="F7" s="1"/>
      <c r="G7" s="1"/>
      <c r="H7" s="1"/>
      <c r="I7" s="13"/>
      <c r="J7" s="1"/>
      <c r="K7" s="1"/>
      <c r="L7" s="1"/>
      <c r="M7" s="1"/>
      <c r="N7" s="1"/>
      <c r="O7" s="1"/>
      <c r="P7" s="1"/>
    </row>
    <row r="8" s="33" customFormat="1" spans="1:16">
      <c r="A8" s="33">
        <v>6</v>
      </c>
      <c r="B8" s="34">
        <f t="shared" si="0"/>
        <v>533</v>
      </c>
      <c r="C8" s="34" t="str">
        <f t="shared" si="1"/>
        <v>0215</v>
      </c>
      <c r="E8" s="1"/>
      <c r="F8" s="1"/>
      <c r="G8" s="1"/>
      <c r="H8" s="1"/>
      <c r="I8" s="13"/>
      <c r="J8" s="1"/>
      <c r="K8" s="1"/>
      <c r="L8" s="1"/>
      <c r="M8" s="1"/>
      <c r="N8" s="1"/>
      <c r="O8" s="1"/>
      <c r="P8" s="1"/>
    </row>
    <row r="9" s="33" customFormat="1" spans="1:16">
      <c r="A9" s="33">
        <v>7</v>
      </c>
      <c r="B9" s="34">
        <f t="shared" si="0"/>
        <v>534</v>
      </c>
      <c r="C9" s="34" t="str">
        <f t="shared" si="1"/>
        <v>0216</v>
      </c>
      <c r="E9" s="1"/>
      <c r="F9" s="1"/>
      <c r="G9" s="1"/>
      <c r="H9" s="1"/>
      <c r="I9" s="13"/>
      <c r="J9" s="1"/>
      <c r="K9" s="1"/>
      <c r="L9" s="1"/>
      <c r="M9" s="1"/>
      <c r="N9" s="1"/>
      <c r="O9" s="1"/>
      <c r="P9" s="1"/>
    </row>
    <row r="10" s="33" customFormat="1" spans="1:16">
      <c r="A10" s="33">
        <v>8</v>
      </c>
      <c r="B10" s="34">
        <f t="shared" si="0"/>
        <v>535</v>
      </c>
      <c r="C10" s="34" t="str">
        <f t="shared" si="1"/>
        <v>0217</v>
      </c>
      <c r="E10" s="1"/>
      <c r="F10" s="1"/>
      <c r="G10" s="1"/>
      <c r="H10" s="1"/>
      <c r="I10" s="13"/>
      <c r="J10" s="1"/>
      <c r="K10" s="1"/>
      <c r="L10" s="1"/>
      <c r="M10" s="1"/>
      <c r="N10" s="1"/>
      <c r="O10" s="1"/>
      <c r="P10" s="1"/>
    </row>
    <row r="11" s="33" customFormat="1" spans="1:16">
      <c r="A11" s="33">
        <v>9</v>
      </c>
      <c r="B11" s="34">
        <f t="shared" si="0"/>
        <v>536</v>
      </c>
      <c r="C11" s="34" t="str">
        <f t="shared" si="1"/>
        <v>0218</v>
      </c>
      <c r="E11" s="1" t="s">
        <v>132</v>
      </c>
      <c r="F11" s="1" t="s">
        <v>468</v>
      </c>
      <c r="G11" s="1" t="s">
        <v>231</v>
      </c>
      <c r="H11" s="13" t="s">
        <v>232</v>
      </c>
      <c r="I11" s="13"/>
      <c r="J11" s="1"/>
      <c r="K11" s="1"/>
      <c r="L11" s="1"/>
      <c r="M11" s="1"/>
      <c r="N11" s="1"/>
      <c r="O11" s="1"/>
      <c r="P11" s="1"/>
    </row>
    <row r="12" s="33" customFormat="1" spans="1:16">
      <c r="A12" s="33">
        <v>10</v>
      </c>
      <c r="B12" s="34">
        <f t="shared" si="0"/>
        <v>537</v>
      </c>
      <c r="C12" s="34" t="str">
        <f t="shared" si="1"/>
        <v>0219</v>
      </c>
      <c r="E12" s="1" t="s">
        <v>132</v>
      </c>
      <c r="F12" s="1" t="s">
        <v>469</v>
      </c>
      <c r="G12" s="1" t="s">
        <v>231</v>
      </c>
      <c r="H12" s="13" t="s">
        <v>236</v>
      </c>
      <c r="I12" s="13"/>
      <c r="J12" s="1"/>
      <c r="K12" s="1"/>
      <c r="L12" s="1"/>
      <c r="M12" s="1"/>
      <c r="N12" s="1"/>
      <c r="O12" s="1"/>
      <c r="P12" s="1"/>
    </row>
    <row r="13" s="33" customFormat="1" spans="1:16">
      <c r="A13" s="33">
        <v>11</v>
      </c>
      <c r="B13" s="34">
        <f t="shared" si="0"/>
        <v>538</v>
      </c>
      <c r="C13" s="34" t="str">
        <f t="shared" si="1"/>
        <v>021A</v>
      </c>
      <c r="E13" s="1" t="s">
        <v>132</v>
      </c>
      <c r="F13" s="1" t="s">
        <v>470</v>
      </c>
      <c r="G13" s="1" t="s">
        <v>231</v>
      </c>
      <c r="H13" s="13" t="s">
        <v>234</v>
      </c>
      <c r="I13" s="13"/>
      <c r="J13" s="1"/>
      <c r="K13" s="1"/>
      <c r="L13" s="1"/>
      <c r="M13" s="1"/>
      <c r="N13" s="1"/>
      <c r="O13" s="1"/>
      <c r="P13" s="1"/>
    </row>
    <row r="14" s="33" customFormat="1" spans="1:16">
      <c r="A14" s="33">
        <v>12</v>
      </c>
      <c r="B14" s="34">
        <f t="shared" si="0"/>
        <v>539</v>
      </c>
      <c r="C14" s="34" t="str">
        <f t="shared" si="1"/>
        <v>021B</v>
      </c>
      <c r="E14" s="1" t="s">
        <v>132</v>
      </c>
      <c r="F14" s="1" t="s">
        <v>471</v>
      </c>
      <c r="G14" s="1" t="s">
        <v>231</v>
      </c>
      <c r="H14" s="13" t="s">
        <v>234</v>
      </c>
      <c r="I14" s="13" t="s">
        <v>123</v>
      </c>
      <c r="J14" s="1"/>
      <c r="K14" s="1"/>
      <c r="L14" s="1"/>
      <c r="M14" s="1"/>
      <c r="N14" s="1"/>
      <c r="O14" s="1"/>
      <c r="P14" s="1"/>
    </row>
    <row r="15" s="33" customFormat="1" spans="1:16">
      <c r="A15" s="33">
        <v>13</v>
      </c>
      <c r="B15" s="34">
        <f t="shared" si="0"/>
        <v>540</v>
      </c>
      <c r="C15" s="34" t="str">
        <f t="shared" si="1"/>
        <v>021C</v>
      </c>
      <c r="E15" s="1" t="s">
        <v>132</v>
      </c>
      <c r="F15" s="1" t="s">
        <v>472</v>
      </c>
      <c r="G15" s="1" t="s">
        <v>231</v>
      </c>
      <c r="H15" s="13" t="s">
        <v>238</v>
      </c>
      <c r="I15" s="13"/>
      <c r="J15" s="1"/>
      <c r="K15" s="1"/>
      <c r="L15" s="1"/>
      <c r="M15" s="1"/>
      <c r="N15" s="1"/>
      <c r="O15" s="1"/>
      <c r="P15" s="1"/>
    </row>
    <row r="16" s="33" customFormat="1" spans="1:16">
      <c r="A16" s="33">
        <v>14</v>
      </c>
      <c r="B16" s="34">
        <f t="shared" si="0"/>
        <v>541</v>
      </c>
      <c r="C16" s="34" t="str">
        <f t="shared" si="1"/>
        <v>021D</v>
      </c>
      <c r="E16" s="1" t="s">
        <v>132</v>
      </c>
      <c r="F16" s="1" t="s">
        <v>473</v>
      </c>
      <c r="G16" s="1" t="s">
        <v>231</v>
      </c>
      <c r="H16" s="13" t="s">
        <v>238</v>
      </c>
      <c r="I16" s="13"/>
      <c r="J16" s="1"/>
      <c r="K16" s="1"/>
      <c r="L16" s="1"/>
      <c r="M16" s="1"/>
      <c r="N16" s="1"/>
      <c r="O16" s="1"/>
      <c r="P16" s="1"/>
    </row>
    <row r="17" s="33" customFormat="1" spans="1:16">
      <c r="A17" s="33">
        <v>15</v>
      </c>
      <c r="B17" s="34">
        <f t="shared" si="0"/>
        <v>542</v>
      </c>
      <c r="C17" s="34" t="str">
        <f t="shared" si="1"/>
        <v>021E</v>
      </c>
      <c r="E17" s="1"/>
      <c r="F17" s="1"/>
      <c r="G17" s="1"/>
      <c r="H17" s="13"/>
      <c r="I17" s="13"/>
      <c r="J17" s="1"/>
      <c r="K17" s="1"/>
      <c r="L17" s="1"/>
      <c r="M17" s="1"/>
      <c r="N17" s="1"/>
      <c r="O17" s="1"/>
      <c r="P17" s="1"/>
    </row>
    <row r="18" spans="1:16">
      <c r="A18" s="33">
        <v>16</v>
      </c>
      <c r="B18" s="34">
        <f t="shared" si="0"/>
        <v>543</v>
      </c>
      <c r="C18" s="34" t="str">
        <f t="shared" si="1"/>
        <v>021F</v>
      </c>
      <c r="E18" s="1"/>
      <c r="F18" s="1"/>
      <c r="G18" s="1"/>
      <c r="H18" s="13"/>
      <c r="I18" s="5"/>
      <c r="J18" s="5"/>
      <c r="K18" s="5"/>
      <c r="L18" s="5"/>
      <c r="M18" s="5"/>
      <c r="N18" s="5"/>
      <c r="O18" s="5"/>
      <c r="P18" s="5"/>
    </row>
    <row r="19" spans="1:16">
      <c r="A19" s="33">
        <v>17</v>
      </c>
      <c r="B19" s="34">
        <f t="shared" si="0"/>
        <v>544</v>
      </c>
      <c r="C19" s="34" t="str">
        <f t="shared" si="1"/>
        <v>0220</v>
      </c>
      <c r="E19" s="1" t="s">
        <v>132</v>
      </c>
      <c r="F19" s="1" t="s">
        <v>248</v>
      </c>
      <c r="G19" s="1" t="s">
        <v>231</v>
      </c>
      <c r="H19" s="13" t="s">
        <v>249</v>
      </c>
      <c r="I19" s="5"/>
      <c r="J19" s="5"/>
      <c r="K19" s="5"/>
      <c r="L19" s="5"/>
      <c r="M19" s="5"/>
      <c r="N19" s="5"/>
      <c r="O19" s="5"/>
      <c r="P19" s="5"/>
    </row>
    <row r="20" spans="1:16">
      <c r="A20" s="33">
        <v>18</v>
      </c>
      <c r="B20" s="34">
        <f t="shared" si="0"/>
        <v>545</v>
      </c>
      <c r="C20" s="34" t="str">
        <f t="shared" si="1"/>
        <v>0221</v>
      </c>
      <c r="E20" s="1" t="s">
        <v>132</v>
      </c>
      <c r="F20" s="1" t="s">
        <v>474</v>
      </c>
      <c r="G20" s="1" t="s">
        <v>114</v>
      </c>
      <c r="H20" s="13" t="s">
        <v>413</v>
      </c>
      <c r="I20" s="5"/>
      <c r="J20" s="5"/>
      <c r="K20" s="5"/>
      <c r="L20" s="5"/>
      <c r="M20" s="5"/>
      <c r="N20" s="5"/>
      <c r="O20" s="5"/>
      <c r="P20" s="5"/>
    </row>
    <row r="21" spans="1:16">
      <c r="A21" s="33">
        <v>19</v>
      </c>
      <c r="B21" s="34">
        <f t="shared" si="0"/>
        <v>546</v>
      </c>
      <c r="C21" s="34" t="str">
        <f t="shared" si="1"/>
        <v>0222</v>
      </c>
      <c r="E21" s="1" t="s">
        <v>132</v>
      </c>
      <c r="F21" s="1" t="s">
        <v>475</v>
      </c>
      <c r="G21" s="1" t="s">
        <v>114</v>
      </c>
      <c r="H21" s="13" t="s">
        <v>413</v>
      </c>
      <c r="I21" s="5"/>
      <c r="J21" s="5"/>
      <c r="K21" s="5"/>
      <c r="L21" s="5"/>
      <c r="M21" s="5"/>
      <c r="N21" s="5"/>
      <c r="O21" s="5"/>
      <c r="P21" s="5"/>
    </row>
    <row r="22" spans="1:16">
      <c r="A22" s="33">
        <v>20</v>
      </c>
      <c r="B22" s="34">
        <f t="shared" si="0"/>
        <v>547</v>
      </c>
      <c r="C22" s="34" t="str">
        <f t="shared" si="1"/>
        <v>0223</v>
      </c>
      <c r="E22" s="1" t="s">
        <v>132</v>
      </c>
      <c r="F22" s="1" t="s">
        <v>476</v>
      </c>
      <c r="G22" s="1" t="s">
        <v>114</v>
      </c>
      <c r="H22" s="13" t="s">
        <v>413</v>
      </c>
      <c r="I22" s="5"/>
      <c r="J22" s="5"/>
      <c r="K22" s="5"/>
      <c r="L22" s="5"/>
      <c r="M22" s="5"/>
      <c r="N22" s="5"/>
      <c r="O22" s="5"/>
      <c r="P22" s="5"/>
    </row>
    <row r="23" spans="1:16">
      <c r="A23" s="33">
        <v>21</v>
      </c>
      <c r="B23" s="34">
        <f t="shared" si="0"/>
        <v>548</v>
      </c>
      <c r="C23" s="34" t="str">
        <f t="shared" si="1"/>
        <v>0224</v>
      </c>
      <c r="E23" s="1" t="s">
        <v>132</v>
      </c>
      <c r="F23" s="1" t="s">
        <v>477</v>
      </c>
      <c r="G23" s="1" t="s">
        <v>114</v>
      </c>
      <c r="H23" s="13" t="s">
        <v>413</v>
      </c>
      <c r="I23" s="5"/>
      <c r="J23" s="5"/>
      <c r="K23" s="5"/>
      <c r="L23" s="5"/>
      <c r="M23" s="5"/>
      <c r="N23" s="5"/>
      <c r="O23" s="5"/>
      <c r="P23" s="5"/>
    </row>
    <row r="24" spans="1:16">
      <c r="A24" s="33">
        <v>22</v>
      </c>
      <c r="B24" s="34">
        <f t="shared" si="0"/>
        <v>549</v>
      </c>
      <c r="C24" s="34" t="str">
        <f t="shared" si="1"/>
        <v>0225</v>
      </c>
      <c r="E24" s="1" t="s">
        <v>132</v>
      </c>
      <c r="F24" s="1" t="s">
        <v>478</v>
      </c>
      <c r="G24" s="1" t="s">
        <v>114</v>
      </c>
      <c r="H24" s="13" t="s">
        <v>413</v>
      </c>
      <c r="I24" s="5"/>
      <c r="J24" s="5"/>
      <c r="K24" s="5"/>
      <c r="L24" s="5"/>
      <c r="M24" s="5"/>
      <c r="N24" s="5"/>
      <c r="O24" s="5"/>
      <c r="P24" s="5"/>
    </row>
    <row r="25" spans="1:16">
      <c r="A25" s="33">
        <v>23</v>
      </c>
      <c r="B25" s="34">
        <f t="shared" si="0"/>
        <v>550</v>
      </c>
      <c r="C25" s="34" t="str">
        <f t="shared" si="1"/>
        <v>0226</v>
      </c>
      <c r="E25" s="1" t="s">
        <v>132</v>
      </c>
      <c r="F25" s="1" t="s">
        <v>479</v>
      </c>
      <c r="G25" s="1" t="s">
        <v>114</v>
      </c>
      <c r="H25" s="13" t="s">
        <v>413</v>
      </c>
      <c r="I25" s="5"/>
      <c r="J25" s="5"/>
      <c r="K25" s="5"/>
      <c r="L25" s="5"/>
      <c r="M25" s="5"/>
      <c r="N25" s="5"/>
      <c r="O25" s="5"/>
      <c r="P25" s="5"/>
    </row>
    <row r="26" spans="1:16">
      <c r="A26" s="33">
        <v>24</v>
      </c>
      <c r="B26" s="34">
        <f t="shared" si="0"/>
        <v>551</v>
      </c>
      <c r="C26" s="34" t="str">
        <f t="shared" si="1"/>
        <v>0227</v>
      </c>
      <c r="E26" s="1" t="s">
        <v>132</v>
      </c>
      <c r="F26" s="1" t="s">
        <v>480</v>
      </c>
      <c r="G26" s="1" t="s">
        <v>114</v>
      </c>
      <c r="H26" s="13" t="s">
        <v>413</v>
      </c>
      <c r="I26" s="5"/>
      <c r="J26" s="5"/>
      <c r="K26" s="5"/>
      <c r="L26" s="5"/>
      <c r="M26" s="5"/>
      <c r="N26" s="5"/>
      <c r="O26" s="5"/>
      <c r="P26" s="5"/>
    </row>
    <row r="27" spans="1:16">
      <c r="A27" s="33">
        <v>25</v>
      </c>
      <c r="B27" s="34">
        <f t="shared" si="0"/>
        <v>552</v>
      </c>
      <c r="C27" s="34" t="str">
        <f t="shared" si="1"/>
        <v>0228</v>
      </c>
      <c r="E27" s="1" t="s">
        <v>132</v>
      </c>
      <c r="F27" s="1" t="s">
        <v>481</v>
      </c>
      <c r="G27" s="1" t="s">
        <v>114</v>
      </c>
      <c r="H27" s="13" t="s">
        <v>413</v>
      </c>
      <c r="I27" s="5"/>
      <c r="J27" s="5"/>
      <c r="K27" s="5"/>
      <c r="L27" s="5"/>
      <c r="M27" s="5"/>
      <c r="N27" s="5"/>
      <c r="O27" s="5"/>
      <c r="P27" s="5"/>
    </row>
    <row r="28" spans="1:16">
      <c r="A28" s="33">
        <v>26</v>
      </c>
      <c r="B28" s="34">
        <f t="shared" si="0"/>
        <v>553</v>
      </c>
      <c r="C28" s="34" t="str">
        <f t="shared" si="1"/>
        <v>0229</v>
      </c>
      <c r="E28" s="1"/>
      <c r="F28" s="5"/>
      <c r="G28" s="6"/>
      <c r="H28" s="5"/>
      <c r="I28" s="5"/>
      <c r="J28" s="5"/>
      <c r="K28" s="5"/>
      <c r="L28" s="5"/>
      <c r="M28" s="5"/>
      <c r="N28" s="5"/>
      <c r="O28" s="5"/>
      <c r="P28" s="5"/>
    </row>
    <row r="29" spans="1:16">
      <c r="A29" s="33">
        <v>27</v>
      </c>
      <c r="B29" s="34">
        <f t="shared" si="0"/>
        <v>554</v>
      </c>
      <c r="C29" s="34" t="str">
        <f t="shared" si="1"/>
        <v>022A</v>
      </c>
      <c r="E29" s="1"/>
      <c r="F29" s="5"/>
      <c r="G29" s="6"/>
      <c r="H29" s="5"/>
      <c r="I29" s="5"/>
      <c r="J29" s="5"/>
      <c r="K29" s="5"/>
      <c r="L29" s="5"/>
      <c r="M29" s="5"/>
      <c r="N29" s="5"/>
      <c r="O29" s="5"/>
      <c r="P29" s="5"/>
    </row>
    <row r="30" spans="1:16">
      <c r="A30" s="33">
        <v>28</v>
      </c>
      <c r="B30" s="34">
        <f t="shared" si="0"/>
        <v>555</v>
      </c>
      <c r="C30" s="34" t="str">
        <f t="shared" si="1"/>
        <v>022B</v>
      </c>
      <c r="E30" s="1"/>
      <c r="F30" s="5"/>
      <c r="G30" s="6"/>
      <c r="H30" s="5"/>
      <c r="I30" s="5"/>
      <c r="J30" s="5"/>
      <c r="K30" s="5"/>
      <c r="L30" s="5"/>
      <c r="M30" s="5"/>
      <c r="N30" s="5"/>
      <c r="O30" s="5"/>
      <c r="P30" s="5"/>
    </row>
    <row r="31" spans="1:16">
      <c r="A31" s="33">
        <v>29</v>
      </c>
      <c r="B31" s="34">
        <f t="shared" si="0"/>
        <v>556</v>
      </c>
      <c r="C31" s="34" t="str">
        <f t="shared" si="1"/>
        <v>022C</v>
      </c>
      <c r="E31" s="1"/>
      <c r="F31" s="5"/>
      <c r="G31" s="6"/>
      <c r="H31" s="5"/>
      <c r="I31" s="5"/>
      <c r="J31" s="5"/>
      <c r="K31" s="5"/>
      <c r="L31" s="5"/>
      <c r="M31" s="5"/>
      <c r="N31" s="5"/>
      <c r="O31" s="5"/>
      <c r="P31" s="5"/>
    </row>
    <row r="32" spans="1:16">
      <c r="A32" s="33">
        <v>30</v>
      </c>
      <c r="B32" s="34">
        <f t="shared" si="0"/>
        <v>557</v>
      </c>
      <c r="C32" s="34" t="str">
        <f t="shared" si="1"/>
        <v>022D</v>
      </c>
      <c r="E32" s="1"/>
      <c r="F32" s="5"/>
      <c r="G32" s="6"/>
      <c r="H32" s="5"/>
      <c r="I32" s="5"/>
      <c r="J32" s="5"/>
      <c r="K32" s="5"/>
      <c r="L32" s="5"/>
      <c r="M32" s="5"/>
      <c r="N32" s="5"/>
      <c r="O32" s="5"/>
      <c r="P32" s="5"/>
    </row>
    <row r="33" spans="1:16">
      <c r="A33" s="33">
        <v>31</v>
      </c>
      <c r="B33" s="34">
        <f t="shared" si="0"/>
        <v>558</v>
      </c>
      <c r="C33" s="34" t="str">
        <f t="shared" si="1"/>
        <v>022E</v>
      </c>
      <c r="E33" s="1"/>
      <c r="F33" s="5"/>
      <c r="G33" s="6"/>
      <c r="H33" s="5"/>
      <c r="I33" s="5"/>
      <c r="J33" s="5"/>
      <c r="K33" s="5"/>
      <c r="L33" s="5"/>
      <c r="M33" s="5"/>
      <c r="N33" s="5"/>
      <c r="O33" s="5"/>
      <c r="P33" s="5"/>
    </row>
    <row r="34" spans="1:16">
      <c r="A34" s="33">
        <v>32</v>
      </c>
      <c r="B34" s="34">
        <f t="shared" si="0"/>
        <v>559</v>
      </c>
      <c r="C34" s="34" t="str">
        <f t="shared" si="1"/>
        <v>022F</v>
      </c>
      <c r="E34" s="1"/>
      <c r="F34" s="5"/>
      <c r="G34" s="6"/>
      <c r="H34" s="5"/>
      <c r="I34" s="5"/>
      <c r="J34" s="5"/>
      <c r="K34" s="5"/>
      <c r="L34" s="5"/>
      <c r="M34" s="5"/>
      <c r="N34" s="5"/>
      <c r="O34" s="5"/>
      <c r="P34" s="5"/>
    </row>
    <row r="35" spans="1:16">
      <c r="A35" s="33">
        <v>33</v>
      </c>
      <c r="B35" s="34">
        <f t="shared" ref="B35:B66" si="2">$B$2+A35-1</f>
        <v>560</v>
      </c>
      <c r="C35" s="34" t="str">
        <f t="shared" ref="C35:C66" si="3">DEC2HEX(B35,4)</f>
        <v>0230</v>
      </c>
      <c r="E35" s="1" t="s">
        <v>132</v>
      </c>
      <c r="F35" s="1" t="s">
        <v>482</v>
      </c>
      <c r="G35" s="1" t="s">
        <v>231</v>
      </c>
      <c r="H35" s="13" t="s">
        <v>232</v>
      </c>
      <c r="I35" s="5"/>
      <c r="J35" s="5"/>
      <c r="K35" s="5"/>
      <c r="L35" s="5"/>
      <c r="M35" s="5"/>
      <c r="N35" s="5"/>
      <c r="O35" s="5"/>
      <c r="P35" s="5"/>
    </row>
    <row r="36" spans="1:16">
      <c r="A36" s="33">
        <v>34</v>
      </c>
      <c r="B36" s="34">
        <f t="shared" si="2"/>
        <v>561</v>
      </c>
      <c r="C36" s="34" t="str">
        <f t="shared" si="3"/>
        <v>0231</v>
      </c>
      <c r="E36" s="1" t="s">
        <v>132</v>
      </c>
      <c r="F36" s="1" t="s">
        <v>483</v>
      </c>
      <c r="G36" s="1" t="s">
        <v>231</v>
      </c>
      <c r="H36" s="13" t="s">
        <v>236</v>
      </c>
      <c r="I36" s="5"/>
      <c r="J36" s="5"/>
      <c r="K36" s="5"/>
      <c r="L36" s="5"/>
      <c r="M36" s="5"/>
      <c r="N36" s="5"/>
      <c r="O36" s="5"/>
      <c r="P36" s="5"/>
    </row>
    <row r="37" spans="1:16">
      <c r="A37" s="33">
        <v>35</v>
      </c>
      <c r="B37" s="34">
        <f t="shared" si="2"/>
        <v>562</v>
      </c>
      <c r="C37" s="34" t="str">
        <f t="shared" si="3"/>
        <v>0232</v>
      </c>
      <c r="E37" s="1" t="s">
        <v>132</v>
      </c>
      <c r="F37" s="1" t="s">
        <v>484</v>
      </c>
      <c r="G37" s="1" t="s">
        <v>231</v>
      </c>
      <c r="H37" s="13" t="s">
        <v>234</v>
      </c>
      <c r="I37" s="5"/>
      <c r="J37" s="5"/>
      <c r="K37" s="5"/>
      <c r="L37" s="5"/>
      <c r="M37" s="5"/>
      <c r="N37" s="5"/>
      <c r="O37" s="5"/>
      <c r="P37" s="5"/>
    </row>
    <row r="38" spans="1:16">
      <c r="A38" s="33">
        <v>36</v>
      </c>
      <c r="B38" s="34">
        <f t="shared" si="2"/>
        <v>563</v>
      </c>
      <c r="C38" s="34" t="str">
        <f t="shared" si="3"/>
        <v>0233</v>
      </c>
      <c r="E38" s="1" t="s">
        <v>132</v>
      </c>
      <c r="F38" s="1" t="s">
        <v>485</v>
      </c>
      <c r="G38" s="1" t="s">
        <v>231</v>
      </c>
      <c r="H38" s="13" t="s">
        <v>234</v>
      </c>
      <c r="I38" s="5"/>
      <c r="J38" s="5"/>
      <c r="K38" s="5"/>
      <c r="L38" s="5"/>
      <c r="M38" s="5"/>
      <c r="N38" s="5"/>
      <c r="O38" s="5"/>
      <c r="P38" s="5"/>
    </row>
    <row r="39" spans="1:16">
      <c r="A39" s="33">
        <v>37</v>
      </c>
      <c r="B39" s="34">
        <f t="shared" si="2"/>
        <v>564</v>
      </c>
      <c r="C39" s="34" t="str">
        <f t="shared" si="3"/>
        <v>0234</v>
      </c>
      <c r="E39" s="1" t="s">
        <v>132</v>
      </c>
      <c r="F39" s="1" t="s">
        <v>486</v>
      </c>
      <c r="G39" s="1" t="s">
        <v>231</v>
      </c>
      <c r="H39" s="13" t="s">
        <v>238</v>
      </c>
      <c r="I39" s="5"/>
      <c r="J39" s="5"/>
      <c r="K39" s="5"/>
      <c r="L39" s="5"/>
      <c r="M39" s="5"/>
      <c r="N39" s="5"/>
      <c r="O39" s="5"/>
      <c r="P39" s="5"/>
    </row>
    <row r="40" spans="1:16">
      <c r="A40" s="33">
        <v>38</v>
      </c>
      <c r="B40" s="34">
        <f t="shared" si="2"/>
        <v>565</v>
      </c>
      <c r="C40" s="34" t="str">
        <f t="shared" si="3"/>
        <v>0235</v>
      </c>
      <c r="E40" s="1" t="s">
        <v>132</v>
      </c>
      <c r="F40" s="1" t="s">
        <v>487</v>
      </c>
      <c r="G40" s="1" t="s">
        <v>231</v>
      </c>
      <c r="H40" s="13" t="s">
        <v>238</v>
      </c>
      <c r="I40" s="5"/>
      <c r="J40" s="5"/>
      <c r="K40" s="5"/>
      <c r="L40" s="5"/>
      <c r="M40" s="5"/>
      <c r="N40" s="5"/>
      <c r="O40" s="5"/>
      <c r="P40" s="5"/>
    </row>
    <row r="41" spans="1:16">
      <c r="A41" s="33">
        <v>39</v>
      </c>
      <c r="B41" s="34">
        <f t="shared" si="2"/>
        <v>566</v>
      </c>
      <c r="C41" s="34" t="str">
        <f t="shared" si="3"/>
        <v>0236</v>
      </c>
      <c r="E41" s="1"/>
      <c r="F41" s="1"/>
      <c r="G41" s="1"/>
      <c r="H41" s="13"/>
      <c r="I41" s="5"/>
      <c r="J41" s="5"/>
      <c r="K41" s="5"/>
      <c r="L41" s="5"/>
      <c r="M41" s="5"/>
      <c r="N41" s="5"/>
      <c r="O41" s="5"/>
      <c r="P41" s="5"/>
    </row>
    <row r="42" spans="1:16">
      <c r="A42" s="33">
        <v>40</v>
      </c>
      <c r="B42" s="34">
        <f t="shared" si="2"/>
        <v>567</v>
      </c>
      <c r="C42" s="34" t="str">
        <f t="shared" si="3"/>
        <v>0237</v>
      </c>
      <c r="E42" s="1"/>
      <c r="F42" s="1"/>
      <c r="G42" s="1"/>
      <c r="H42" s="13"/>
      <c r="I42" s="5"/>
      <c r="J42" s="5"/>
      <c r="K42" s="5"/>
      <c r="L42" s="5"/>
      <c r="M42" s="5"/>
      <c r="N42" s="5"/>
      <c r="O42" s="5"/>
      <c r="P42" s="5"/>
    </row>
    <row r="43" spans="1:16">
      <c r="A43" s="33">
        <v>41</v>
      </c>
      <c r="B43" s="34">
        <f t="shared" si="2"/>
        <v>568</v>
      </c>
      <c r="C43" s="34" t="str">
        <f t="shared" si="3"/>
        <v>0238</v>
      </c>
      <c r="E43" s="1" t="s">
        <v>132</v>
      </c>
      <c r="F43" s="1" t="s">
        <v>263</v>
      </c>
      <c r="G43" s="1" t="s">
        <v>231</v>
      </c>
      <c r="H43" s="13" t="s">
        <v>249</v>
      </c>
      <c r="I43" s="5"/>
      <c r="J43" s="5"/>
      <c r="K43" s="5"/>
      <c r="L43" s="5"/>
      <c r="M43" s="5"/>
      <c r="N43" s="5"/>
      <c r="O43" s="5"/>
      <c r="P43" s="5"/>
    </row>
    <row r="44" spans="1:16">
      <c r="A44" s="33">
        <v>42</v>
      </c>
      <c r="B44" s="34">
        <f t="shared" si="2"/>
        <v>569</v>
      </c>
      <c r="C44" s="34" t="str">
        <f t="shared" si="3"/>
        <v>0239</v>
      </c>
      <c r="E44" s="1" t="s">
        <v>132</v>
      </c>
      <c r="F44" s="1" t="s">
        <v>488</v>
      </c>
      <c r="G44" s="1" t="s">
        <v>114</v>
      </c>
      <c r="H44" s="13" t="s">
        <v>413</v>
      </c>
      <c r="I44" s="5"/>
      <c r="J44" s="5"/>
      <c r="K44" s="5"/>
      <c r="L44" s="5"/>
      <c r="M44" s="5"/>
      <c r="N44" s="5"/>
      <c r="O44" s="5"/>
      <c r="P44" s="5"/>
    </row>
    <row r="45" spans="1:16">
      <c r="A45" s="33">
        <v>43</v>
      </c>
      <c r="B45" s="34">
        <f t="shared" si="2"/>
        <v>570</v>
      </c>
      <c r="C45" s="34" t="str">
        <f t="shared" si="3"/>
        <v>023A</v>
      </c>
      <c r="E45" s="1" t="s">
        <v>132</v>
      </c>
      <c r="F45" s="1" t="s">
        <v>489</v>
      </c>
      <c r="G45" s="1" t="s">
        <v>114</v>
      </c>
      <c r="H45" s="13" t="s">
        <v>413</v>
      </c>
      <c r="I45" s="5"/>
      <c r="J45" s="5"/>
      <c r="K45" s="5"/>
      <c r="L45" s="5"/>
      <c r="M45" s="5"/>
      <c r="N45" s="5"/>
      <c r="O45" s="5"/>
      <c r="P45" s="5"/>
    </row>
    <row r="46" spans="1:16">
      <c r="A46" s="33">
        <v>44</v>
      </c>
      <c r="B46" s="34">
        <f t="shared" si="2"/>
        <v>571</v>
      </c>
      <c r="C46" s="34" t="str">
        <f t="shared" si="3"/>
        <v>023B</v>
      </c>
      <c r="E46" s="1" t="s">
        <v>132</v>
      </c>
      <c r="F46" s="1" t="s">
        <v>490</v>
      </c>
      <c r="G46" s="1" t="s">
        <v>114</v>
      </c>
      <c r="H46" s="13" t="s">
        <v>413</v>
      </c>
      <c r="I46" s="5"/>
      <c r="J46" s="5"/>
      <c r="K46" s="5"/>
      <c r="L46" s="5"/>
      <c r="M46" s="5"/>
      <c r="N46" s="5"/>
      <c r="O46" s="5"/>
      <c r="P46" s="5"/>
    </row>
    <row r="47" spans="1:16">
      <c r="A47" s="33">
        <v>45</v>
      </c>
      <c r="B47" s="34">
        <f t="shared" si="2"/>
        <v>572</v>
      </c>
      <c r="C47" s="34" t="str">
        <f t="shared" si="3"/>
        <v>023C</v>
      </c>
      <c r="E47" s="1" t="s">
        <v>132</v>
      </c>
      <c r="F47" s="1" t="s">
        <v>491</v>
      </c>
      <c r="G47" s="1" t="s">
        <v>114</v>
      </c>
      <c r="H47" s="13" t="s">
        <v>413</v>
      </c>
      <c r="I47" s="5"/>
      <c r="J47" s="5"/>
      <c r="K47" s="5"/>
      <c r="L47" s="5"/>
      <c r="M47" s="5"/>
      <c r="N47" s="5"/>
      <c r="O47" s="5"/>
      <c r="P47" s="5"/>
    </row>
    <row r="48" spans="1:16">
      <c r="A48" s="33">
        <v>46</v>
      </c>
      <c r="B48" s="34">
        <f t="shared" si="2"/>
        <v>573</v>
      </c>
      <c r="C48" s="34" t="str">
        <f t="shared" si="3"/>
        <v>023D</v>
      </c>
      <c r="E48" s="1" t="s">
        <v>132</v>
      </c>
      <c r="F48" s="1" t="s">
        <v>492</v>
      </c>
      <c r="G48" s="1" t="s">
        <v>114</v>
      </c>
      <c r="H48" s="13" t="s">
        <v>413</v>
      </c>
      <c r="I48" s="5"/>
      <c r="J48" s="5"/>
      <c r="K48" s="5"/>
      <c r="L48" s="5"/>
      <c r="M48" s="5"/>
      <c r="N48" s="5"/>
      <c r="O48" s="5"/>
      <c r="P48" s="5"/>
    </row>
    <row r="49" spans="1:16">
      <c r="A49" s="33">
        <v>47</v>
      </c>
      <c r="B49" s="34">
        <f t="shared" si="2"/>
        <v>574</v>
      </c>
      <c r="C49" s="34" t="str">
        <f t="shared" si="3"/>
        <v>023E</v>
      </c>
      <c r="E49" s="1" t="s">
        <v>132</v>
      </c>
      <c r="F49" s="1" t="s">
        <v>493</v>
      </c>
      <c r="G49" s="1" t="s">
        <v>114</v>
      </c>
      <c r="H49" s="13" t="s">
        <v>413</v>
      </c>
      <c r="I49" s="5"/>
      <c r="J49" s="5"/>
      <c r="K49" s="5"/>
      <c r="L49" s="5"/>
      <c r="M49" s="5"/>
      <c r="N49" s="5"/>
      <c r="O49" s="5"/>
      <c r="P49" s="5"/>
    </row>
    <row r="50" spans="1:16">
      <c r="A50" s="33">
        <v>48</v>
      </c>
      <c r="B50" s="34">
        <f t="shared" si="2"/>
        <v>575</v>
      </c>
      <c r="C50" s="34" t="str">
        <f t="shared" si="3"/>
        <v>023F</v>
      </c>
      <c r="E50" s="1" t="s">
        <v>132</v>
      </c>
      <c r="F50" s="1" t="s">
        <v>494</v>
      </c>
      <c r="G50" s="1" t="s">
        <v>114</v>
      </c>
      <c r="H50" s="13" t="s">
        <v>413</v>
      </c>
      <c r="I50" s="5"/>
      <c r="J50" s="5"/>
      <c r="K50" s="5"/>
      <c r="L50" s="5"/>
      <c r="M50" s="5"/>
      <c r="N50" s="5"/>
      <c r="O50" s="5"/>
      <c r="P50" s="5"/>
    </row>
    <row r="51" spans="1:16">
      <c r="A51" s="33">
        <v>49</v>
      </c>
      <c r="B51" s="34">
        <f t="shared" si="2"/>
        <v>576</v>
      </c>
      <c r="C51" s="34" t="str">
        <f t="shared" si="3"/>
        <v>0240</v>
      </c>
      <c r="E51" s="1" t="s">
        <v>132</v>
      </c>
      <c r="F51" s="1" t="s">
        <v>495</v>
      </c>
      <c r="G51" s="1" t="s">
        <v>114</v>
      </c>
      <c r="H51" s="13" t="s">
        <v>413</v>
      </c>
      <c r="I51" s="5"/>
      <c r="J51" s="5"/>
      <c r="K51" s="5"/>
      <c r="L51" s="5"/>
      <c r="M51" s="5"/>
      <c r="N51" s="5"/>
      <c r="O51" s="5"/>
      <c r="P51" s="5"/>
    </row>
    <row r="52" spans="1:16">
      <c r="A52" s="33">
        <v>50</v>
      </c>
      <c r="B52" s="34">
        <f t="shared" si="2"/>
        <v>577</v>
      </c>
      <c r="C52" s="34" t="str">
        <f t="shared" si="3"/>
        <v>0241</v>
      </c>
      <c r="E52" s="1"/>
      <c r="F52" s="5"/>
      <c r="G52" s="6"/>
      <c r="H52" s="5"/>
      <c r="I52" s="5"/>
      <c r="J52" s="5"/>
      <c r="K52" s="5"/>
      <c r="L52" s="5"/>
      <c r="M52" s="5"/>
      <c r="N52" s="5"/>
      <c r="O52" s="5"/>
      <c r="P52" s="5"/>
    </row>
    <row r="53" spans="1:16">
      <c r="A53" s="33">
        <v>51</v>
      </c>
      <c r="B53" s="34">
        <f t="shared" si="2"/>
        <v>578</v>
      </c>
      <c r="C53" s="34" t="str">
        <f t="shared" si="3"/>
        <v>0242</v>
      </c>
      <c r="E53" s="1"/>
      <c r="F53" s="5"/>
      <c r="G53" s="6"/>
      <c r="H53" s="5"/>
      <c r="I53" s="5"/>
      <c r="J53" s="5"/>
      <c r="K53" s="5"/>
      <c r="L53" s="5"/>
      <c r="M53" s="5"/>
      <c r="N53" s="5"/>
      <c r="O53" s="5"/>
      <c r="P53" s="5"/>
    </row>
    <row r="54" spans="1:16">
      <c r="A54" s="33">
        <v>52</v>
      </c>
      <c r="B54" s="34">
        <f t="shared" si="2"/>
        <v>579</v>
      </c>
      <c r="C54" s="34" t="str">
        <f t="shared" si="3"/>
        <v>0243</v>
      </c>
      <c r="E54" s="1"/>
      <c r="F54" s="5"/>
      <c r="G54" s="6"/>
      <c r="H54" s="5"/>
      <c r="I54" s="5"/>
      <c r="J54" s="5"/>
      <c r="K54" s="5"/>
      <c r="L54" s="5"/>
      <c r="M54" s="5"/>
      <c r="N54" s="5"/>
      <c r="O54" s="5"/>
      <c r="P54" s="5"/>
    </row>
    <row r="55" spans="1:16">
      <c r="A55" s="33">
        <v>53</v>
      </c>
      <c r="B55" s="34">
        <f t="shared" si="2"/>
        <v>580</v>
      </c>
      <c r="C55" s="34" t="str">
        <f t="shared" si="3"/>
        <v>0244</v>
      </c>
      <c r="E55" s="1"/>
      <c r="F55" s="5"/>
      <c r="G55" s="6"/>
      <c r="H55" s="5"/>
      <c r="I55" s="5"/>
      <c r="J55" s="5"/>
      <c r="K55" s="5"/>
      <c r="L55" s="5"/>
      <c r="M55" s="5"/>
      <c r="N55" s="5"/>
      <c r="O55" s="5"/>
      <c r="P55" s="5"/>
    </row>
    <row r="56" spans="1:16">
      <c r="A56" s="33">
        <v>54</v>
      </c>
      <c r="B56" s="34">
        <f t="shared" si="2"/>
        <v>581</v>
      </c>
      <c r="C56" s="34" t="str">
        <f t="shared" si="3"/>
        <v>0245</v>
      </c>
      <c r="E56" s="1"/>
      <c r="F56" s="5"/>
      <c r="G56" s="6"/>
      <c r="H56" s="5"/>
      <c r="I56" s="5"/>
      <c r="J56" s="5"/>
      <c r="K56" s="5"/>
      <c r="L56" s="5"/>
      <c r="M56" s="5"/>
      <c r="N56" s="5"/>
      <c r="O56" s="5"/>
      <c r="P56" s="5"/>
    </row>
    <row r="57" spans="1:16">
      <c r="A57" s="33">
        <v>55</v>
      </c>
      <c r="B57" s="34">
        <f t="shared" si="2"/>
        <v>582</v>
      </c>
      <c r="C57" s="34" t="str">
        <f t="shared" si="3"/>
        <v>0246</v>
      </c>
      <c r="E57" s="1"/>
      <c r="F57" s="5"/>
      <c r="G57" s="6"/>
      <c r="H57" s="5"/>
      <c r="I57" s="5"/>
      <c r="J57" s="5"/>
      <c r="K57" s="5"/>
      <c r="L57" s="5"/>
      <c r="M57" s="5"/>
      <c r="N57" s="5"/>
      <c r="O57" s="5"/>
      <c r="P57" s="5"/>
    </row>
    <row r="58" spans="1:16">
      <c r="A58" s="33">
        <v>56</v>
      </c>
      <c r="B58" s="34">
        <f t="shared" si="2"/>
        <v>583</v>
      </c>
      <c r="C58" s="34" t="str">
        <f t="shared" si="3"/>
        <v>0247</v>
      </c>
      <c r="E58" s="1"/>
      <c r="F58" s="5"/>
      <c r="G58" s="6"/>
      <c r="H58" s="5"/>
      <c r="I58" s="5"/>
      <c r="J58" s="5"/>
      <c r="K58" s="5"/>
      <c r="L58" s="5"/>
      <c r="M58" s="5"/>
      <c r="N58" s="5"/>
      <c r="O58" s="5"/>
      <c r="P58" s="5"/>
    </row>
    <row r="59" spans="1:16">
      <c r="A59" s="33">
        <v>57</v>
      </c>
      <c r="B59" s="34">
        <f t="shared" si="2"/>
        <v>584</v>
      </c>
      <c r="C59" s="34" t="str">
        <f t="shared" si="3"/>
        <v>0248</v>
      </c>
      <c r="E59" s="1" t="s">
        <v>132</v>
      </c>
      <c r="F59" s="1" t="s">
        <v>496</v>
      </c>
      <c r="G59" s="1" t="s">
        <v>231</v>
      </c>
      <c r="H59" s="13" t="s">
        <v>232</v>
      </c>
      <c r="I59" s="5"/>
      <c r="J59" s="5"/>
      <c r="K59" s="5"/>
      <c r="L59" s="5"/>
      <c r="M59" s="5"/>
      <c r="N59" s="5"/>
      <c r="O59" s="5"/>
      <c r="P59" s="5"/>
    </row>
    <row r="60" spans="1:16">
      <c r="A60" s="33">
        <v>58</v>
      </c>
      <c r="B60" s="34">
        <f t="shared" si="2"/>
        <v>585</v>
      </c>
      <c r="C60" s="34" t="str">
        <f t="shared" si="3"/>
        <v>0249</v>
      </c>
      <c r="E60" s="1" t="s">
        <v>132</v>
      </c>
      <c r="F60" s="1" t="s">
        <v>497</v>
      </c>
      <c r="G60" s="1" t="s">
        <v>231</v>
      </c>
      <c r="H60" s="13" t="s">
        <v>236</v>
      </c>
      <c r="I60" s="5"/>
      <c r="J60" s="5"/>
      <c r="K60" s="5"/>
      <c r="L60" s="5"/>
      <c r="M60" s="5"/>
      <c r="N60" s="5"/>
      <c r="O60" s="5"/>
      <c r="P60" s="5"/>
    </row>
    <row r="61" spans="1:16">
      <c r="A61" s="33">
        <v>59</v>
      </c>
      <c r="B61" s="34">
        <f t="shared" si="2"/>
        <v>586</v>
      </c>
      <c r="C61" s="34" t="str">
        <f t="shared" si="3"/>
        <v>024A</v>
      </c>
      <c r="E61" s="1" t="s">
        <v>132</v>
      </c>
      <c r="F61" s="1" t="s">
        <v>498</v>
      </c>
      <c r="G61" s="1" t="s">
        <v>231</v>
      </c>
      <c r="H61" s="13" t="s">
        <v>234</v>
      </c>
      <c r="I61" s="5"/>
      <c r="J61" s="5"/>
      <c r="K61" s="5"/>
      <c r="L61" s="5"/>
      <c r="M61" s="5"/>
      <c r="N61" s="5"/>
      <c r="O61" s="5"/>
      <c r="P61" s="5"/>
    </row>
    <row r="62" spans="1:16">
      <c r="A62" s="33">
        <v>60</v>
      </c>
      <c r="B62" s="34">
        <f t="shared" si="2"/>
        <v>587</v>
      </c>
      <c r="C62" s="34" t="str">
        <f t="shared" si="3"/>
        <v>024B</v>
      </c>
      <c r="E62" s="1" t="s">
        <v>132</v>
      </c>
      <c r="F62" s="1" t="s">
        <v>499</v>
      </c>
      <c r="G62" s="1" t="s">
        <v>231</v>
      </c>
      <c r="H62" s="13" t="s">
        <v>234</v>
      </c>
      <c r="I62" s="5"/>
      <c r="J62" s="5"/>
      <c r="K62" s="5"/>
      <c r="L62" s="5"/>
      <c r="M62" s="5"/>
      <c r="N62" s="5"/>
      <c r="O62" s="5"/>
      <c r="P62" s="5"/>
    </row>
    <row r="63" spans="1:16">
      <c r="A63" s="33">
        <v>61</v>
      </c>
      <c r="B63" s="34">
        <f t="shared" si="2"/>
        <v>588</v>
      </c>
      <c r="C63" s="34" t="str">
        <f t="shared" si="3"/>
        <v>024C</v>
      </c>
      <c r="E63" s="1" t="s">
        <v>132</v>
      </c>
      <c r="F63" s="1" t="s">
        <v>500</v>
      </c>
      <c r="G63" s="1" t="s">
        <v>231</v>
      </c>
      <c r="H63" s="13" t="s">
        <v>238</v>
      </c>
      <c r="I63" s="5"/>
      <c r="J63" s="5"/>
      <c r="K63" s="5"/>
      <c r="L63" s="5"/>
      <c r="M63" s="5"/>
      <c r="N63" s="5"/>
      <c r="O63" s="5"/>
      <c r="P63" s="5"/>
    </row>
    <row r="64" spans="1:16">
      <c r="A64" s="33">
        <v>62</v>
      </c>
      <c r="B64" s="34">
        <f t="shared" si="2"/>
        <v>589</v>
      </c>
      <c r="C64" s="34" t="str">
        <f t="shared" si="3"/>
        <v>024D</v>
      </c>
      <c r="E64" s="1" t="s">
        <v>132</v>
      </c>
      <c r="F64" s="1" t="s">
        <v>501</v>
      </c>
      <c r="G64" s="1" t="s">
        <v>231</v>
      </c>
      <c r="H64" s="13" t="s">
        <v>238</v>
      </c>
      <c r="I64" s="5"/>
      <c r="J64" s="5"/>
      <c r="K64" s="5"/>
      <c r="L64" s="5"/>
      <c r="M64" s="5"/>
      <c r="N64" s="5"/>
      <c r="O64" s="5"/>
      <c r="P64" s="5"/>
    </row>
    <row r="65" spans="1:16">
      <c r="A65" s="33">
        <v>63</v>
      </c>
      <c r="B65" s="34">
        <f t="shared" si="2"/>
        <v>590</v>
      </c>
      <c r="C65" s="34" t="str">
        <f t="shared" si="3"/>
        <v>024E</v>
      </c>
      <c r="E65" s="1"/>
      <c r="F65" s="1"/>
      <c r="G65" s="1"/>
      <c r="H65" s="13"/>
      <c r="I65" s="5"/>
      <c r="J65" s="5"/>
      <c r="K65" s="5"/>
      <c r="L65" s="5"/>
      <c r="M65" s="5"/>
      <c r="N65" s="5"/>
      <c r="O65" s="5"/>
      <c r="P65" s="5"/>
    </row>
    <row r="66" spans="1:16">
      <c r="A66" s="33">
        <v>64</v>
      </c>
      <c r="B66" s="34">
        <f t="shared" si="2"/>
        <v>591</v>
      </c>
      <c r="C66" s="34" t="str">
        <f t="shared" si="3"/>
        <v>024F</v>
      </c>
      <c r="E66" s="1"/>
      <c r="F66" s="1"/>
      <c r="G66" s="1"/>
      <c r="H66" s="13"/>
      <c r="I66" s="5"/>
      <c r="J66" s="5"/>
      <c r="K66" s="5"/>
      <c r="L66" s="5"/>
      <c r="M66" s="5"/>
      <c r="N66" s="5"/>
      <c r="O66" s="5"/>
      <c r="P66" s="5"/>
    </row>
    <row r="67" spans="1:16">
      <c r="A67" s="33">
        <v>65</v>
      </c>
      <c r="B67" s="34">
        <f t="shared" ref="B67:B82" si="4">$B$2+A67-1</f>
        <v>592</v>
      </c>
      <c r="C67" s="34" t="str">
        <f t="shared" ref="C67:C82" si="5">DEC2HEX(B67,4)</f>
        <v>0250</v>
      </c>
      <c r="E67" s="1" t="s">
        <v>132</v>
      </c>
      <c r="F67" s="1" t="s">
        <v>277</v>
      </c>
      <c r="G67" s="1" t="s">
        <v>231</v>
      </c>
      <c r="H67" s="13" t="s">
        <v>249</v>
      </c>
      <c r="I67" s="5"/>
      <c r="J67" s="5"/>
      <c r="K67" s="5"/>
      <c r="L67" s="5"/>
      <c r="M67" s="5"/>
      <c r="N67" s="5"/>
      <c r="O67" s="5"/>
      <c r="P67" s="5"/>
    </row>
    <row r="68" spans="1:16">
      <c r="A68" s="33">
        <v>66</v>
      </c>
      <c r="B68" s="34">
        <f t="shared" si="4"/>
        <v>593</v>
      </c>
      <c r="C68" s="34" t="str">
        <f t="shared" si="5"/>
        <v>0251</v>
      </c>
      <c r="E68" s="1" t="s">
        <v>132</v>
      </c>
      <c r="F68" s="1" t="s">
        <v>502</v>
      </c>
      <c r="G68" s="1" t="s">
        <v>114</v>
      </c>
      <c r="H68" s="13" t="s">
        <v>413</v>
      </c>
      <c r="I68" s="5"/>
      <c r="J68" s="5"/>
      <c r="K68" s="5"/>
      <c r="L68" s="5"/>
      <c r="M68" s="5"/>
      <c r="N68" s="5"/>
      <c r="O68" s="5"/>
      <c r="P68" s="5"/>
    </row>
    <row r="69" spans="1:16">
      <c r="A69" s="33">
        <v>67</v>
      </c>
      <c r="B69" s="34">
        <f t="shared" si="4"/>
        <v>594</v>
      </c>
      <c r="C69" s="34" t="str">
        <f t="shared" si="5"/>
        <v>0252</v>
      </c>
      <c r="E69" s="1" t="s">
        <v>132</v>
      </c>
      <c r="F69" s="1" t="s">
        <v>503</v>
      </c>
      <c r="G69" s="1" t="s">
        <v>114</v>
      </c>
      <c r="H69" s="13" t="s">
        <v>413</v>
      </c>
      <c r="I69" s="5"/>
      <c r="J69" s="5"/>
      <c r="K69" s="5"/>
      <c r="L69" s="5"/>
      <c r="M69" s="5"/>
      <c r="N69" s="5"/>
      <c r="O69" s="5"/>
      <c r="P69" s="5"/>
    </row>
    <row r="70" spans="1:16">
      <c r="A70" s="33">
        <v>68</v>
      </c>
      <c r="B70" s="34">
        <f t="shared" si="4"/>
        <v>595</v>
      </c>
      <c r="C70" s="34" t="str">
        <f t="shared" si="5"/>
        <v>0253</v>
      </c>
      <c r="E70" s="1" t="s">
        <v>132</v>
      </c>
      <c r="F70" s="1" t="s">
        <v>504</v>
      </c>
      <c r="G70" s="1" t="s">
        <v>114</v>
      </c>
      <c r="H70" s="13" t="s">
        <v>413</v>
      </c>
      <c r="I70" s="5"/>
      <c r="J70" s="5"/>
      <c r="K70" s="5"/>
      <c r="L70" s="5"/>
      <c r="M70" s="5"/>
      <c r="N70" s="5"/>
      <c r="O70" s="5"/>
      <c r="P70" s="5"/>
    </row>
    <row r="71" spans="1:16">
      <c r="A71" s="33">
        <v>69</v>
      </c>
      <c r="B71" s="34">
        <f t="shared" si="4"/>
        <v>596</v>
      </c>
      <c r="C71" s="34" t="str">
        <f t="shared" si="5"/>
        <v>0254</v>
      </c>
      <c r="E71" s="1" t="s">
        <v>132</v>
      </c>
      <c r="F71" s="1" t="s">
        <v>505</v>
      </c>
      <c r="G71" s="1" t="s">
        <v>114</v>
      </c>
      <c r="H71" s="13" t="s">
        <v>413</v>
      </c>
      <c r="I71" s="5"/>
      <c r="J71" s="5"/>
      <c r="K71" s="5"/>
      <c r="L71" s="5"/>
      <c r="M71" s="5"/>
      <c r="N71" s="5"/>
      <c r="O71" s="5"/>
      <c r="P71" s="5"/>
    </row>
    <row r="72" spans="1:16">
      <c r="A72" s="33">
        <v>70</v>
      </c>
      <c r="B72" s="34">
        <f t="shared" si="4"/>
        <v>597</v>
      </c>
      <c r="C72" s="34" t="str">
        <f t="shared" si="5"/>
        <v>0255</v>
      </c>
      <c r="E72" s="1" t="s">
        <v>132</v>
      </c>
      <c r="F72" s="1" t="s">
        <v>506</v>
      </c>
      <c r="G72" s="1" t="s">
        <v>114</v>
      </c>
      <c r="H72" s="13" t="s">
        <v>413</v>
      </c>
      <c r="I72" s="5"/>
      <c r="J72" s="5"/>
      <c r="K72" s="5"/>
      <c r="L72" s="5"/>
      <c r="M72" s="5"/>
      <c r="N72" s="5"/>
      <c r="O72" s="5"/>
      <c r="P72" s="5"/>
    </row>
    <row r="73" spans="1:16">
      <c r="A73" s="33">
        <v>71</v>
      </c>
      <c r="B73" s="34">
        <f t="shared" si="4"/>
        <v>598</v>
      </c>
      <c r="C73" s="34" t="str">
        <f t="shared" si="5"/>
        <v>0256</v>
      </c>
      <c r="E73" s="1" t="s">
        <v>132</v>
      </c>
      <c r="F73" s="1" t="s">
        <v>507</v>
      </c>
      <c r="G73" s="1" t="s">
        <v>114</v>
      </c>
      <c r="H73" s="13" t="s">
        <v>413</v>
      </c>
      <c r="I73" s="5"/>
      <c r="J73" s="5"/>
      <c r="K73" s="5"/>
      <c r="L73" s="5"/>
      <c r="M73" s="5"/>
      <c r="N73" s="5"/>
      <c r="O73" s="5"/>
      <c r="P73" s="5"/>
    </row>
    <row r="74" spans="1:16">
      <c r="A74" s="33">
        <v>72</v>
      </c>
      <c r="B74" s="34">
        <f t="shared" si="4"/>
        <v>599</v>
      </c>
      <c r="C74" s="34" t="str">
        <f t="shared" si="5"/>
        <v>0257</v>
      </c>
      <c r="E74" s="1" t="s">
        <v>132</v>
      </c>
      <c r="F74" s="1" t="s">
        <v>508</v>
      </c>
      <c r="G74" s="1" t="s">
        <v>114</v>
      </c>
      <c r="H74" s="13" t="s">
        <v>413</v>
      </c>
      <c r="I74" s="5"/>
      <c r="J74" s="5"/>
      <c r="K74" s="5"/>
      <c r="L74" s="5"/>
      <c r="M74" s="5"/>
      <c r="N74" s="5"/>
      <c r="O74" s="5"/>
      <c r="P74" s="5"/>
    </row>
    <row r="75" spans="1:16">
      <c r="A75" s="33">
        <v>73</v>
      </c>
      <c r="B75" s="34">
        <f t="shared" si="4"/>
        <v>600</v>
      </c>
      <c r="C75" s="34" t="str">
        <f t="shared" si="5"/>
        <v>0258</v>
      </c>
      <c r="E75" s="1" t="s">
        <v>132</v>
      </c>
      <c r="F75" s="1" t="s">
        <v>509</v>
      </c>
      <c r="G75" s="1" t="s">
        <v>114</v>
      </c>
      <c r="H75" s="13" t="s">
        <v>413</v>
      </c>
      <c r="I75" s="5"/>
      <c r="J75" s="5"/>
      <c r="K75" s="5"/>
      <c r="L75" s="5"/>
      <c r="M75" s="5"/>
      <c r="N75" s="5"/>
      <c r="O75" s="5"/>
      <c r="P75" s="5"/>
    </row>
    <row r="76" spans="1:6">
      <c r="A76" s="33">
        <v>74</v>
      </c>
      <c r="B76" s="34">
        <f t="shared" si="4"/>
        <v>601</v>
      </c>
      <c r="C76" s="34" t="str">
        <f t="shared" si="5"/>
        <v>0259</v>
      </c>
      <c r="E76" s="1"/>
      <c r="F76" s="5"/>
    </row>
    <row r="77" spans="1:6">
      <c r="A77" s="33">
        <v>75</v>
      </c>
      <c r="B77" s="34">
        <f t="shared" si="4"/>
        <v>602</v>
      </c>
      <c r="C77" s="34" t="str">
        <f t="shared" si="5"/>
        <v>025A</v>
      </c>
      <c r="E77" s="1"/>
      <c r="F77" s="5"/>
    </row>
    <row r="78" spans="1:6">
      <c r="A78" s="33">
        <v>76</v>
      </c>
      <c r="B78" s="34">
        <f t="shared" si="4"/>
        <v>603</v>
      </c>
      <c r="C78" s="34" t="str">
        <f t="shared" si="5"/>
        <v>025B</v>
      </c>
      <c r="E78" s="1"/>
      <c r="F78" s="5"/>
    </row>
    <row r="79" spans="1:6">
      <c r="A79" s="33">
        <v>77</v>
      </c>
      <c r="B79" s="34">
        <f t="shared" si="4"/>
        <v>604</v>
      </c>
      <c r="C79" s="34" t="str">
        <f t="shared" si="5"/>
        <v>025C</v>
      </c>
      <c r="E79" s="1"/>
      <c r="F79" s="5"/>
    </row>
    <row r="80" spans="1:6">
      <c r="A80" s="33">
        <v>78</v>
      </c>
      <c r="B80" s="34">
        <f t="shared" si="4"/>
        <v>605</v>
      </c>
      <c r="C80" s="34" t="str">
        <f t="shared" si="5"/>
        <v>025D</v>
      </c>
      <c r="E80" s="1"/>
      <c r="F80" s="5"/>
    </row>
    <row r="81" spans="1:6">
      <c r="A81" s="33">
        <v>79</v>
      </c>
      <c r="B81" s="34">
        <f t="shared" si="4"/>
        <v>606</v>
      </c>
      <c r="C81" s="34" t="str">
        <f t="shared" si="5"/>
        <v>025E</v>
      </c>
      <c r="E81" s="1"/>
      <c r="F81" s="5"/>
    </row>
    <row r="82" spans="1:6">
      <c r="A82" s="33">
        <v>80</v>
      </c>
      <c r="B82" s="34">
        <f t="shared" si="4"/>
        <v>607</v>
      </c>
      <c r="C82" s="34" t="str">
        <f t="shared" si="5"/>
        <v>025F</v>
      </c>
      <c r="E82" s="1"/>
      <c r="F82" s="5"/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0"/>
  <dimension ref="A1:L66"/>
  <sheetViews>
    <sheetView zoomScale="130" zoomScaleNormal="130" topLeftCell="A39" workbookViewId="0">
      <selection activeCell="L47" sqref="L47"/>
    </sheetView>
  </sheetViews>
  <sheetFormatPr defaultColWidth="8.73636363636364" defaultRowHeight="14"/>
  <cols>
    <col min="1" max="1" width="5.55454545454545" customWidth="1"/>
    <col min="2" max="2" width="14" customWidth="1"/>
    <col min="3" max="3" width="5.55454545454545" customWidth="1"/>
    <col min="4" max="4" width="7.55454545454545" customWidth="1"/>
    <col min="5" max="5" width="5.55454545454545" customWidth="1"/>
    <col min="6" max="7" width="17.3545454545455" customWidth="1"/>
    <col min="8" max="8" width="5.55454545454545" style="5" customWidth="1"/>
    <col min="9" max="9" width="5.55454545454545" customWidth="1"/>
    <col min="10" max="11" width="7.55454545454545" customWidth="1"/>
  </cols>
  <sheetData>
    <row r="1" spans="1:11">
      <c r="A1" s="33" t="s">
        <v>99</v>
      </c>
      <c r="B1" s="33" t="s">
        <v>100</v>
      </c>
      <c r="C1" s="33" t="s">
        <v>101</v>
      </c>
      <c r="D1" s="33" t="s">
        <v>102</v>
      </c>
      <c r="E1" s="33" t="s">
        <v>103</v>
      </c>
      <c r="F1" s="33" t="s">
        <v>104</v>
      </c>
      <c r="G1" s="33" t="s">
        <v>105</v>
      </c>
      <c r="H1" s="1" t="s">
        <v>106</v>
      </c>
      <c r="I1" s="33" t="s">
        <v>107</v>
      </c>
      <c r="J1" s="33" t="s">
        <v>108</v>
      </c>
      <c r="K1" s="33" t="s">
        <v>109</v>
      </c>
    </row>
    <row r="2" spans="1:7">
      <c r="A2" s="33"/>
      <c r="B2" s="33">
        <f>HEX2DEC(C2)</f>
        <v>608</v>
      </c>
      <c r="C2" s="33" t="s">
        <v>510</v>
      </c>
      <c r="D2" s="33"/>
      <c r="E2" s="33"/>
      <c r="F2" s="33" t="s">
        <v>511</v>
      </c>
      <c r="G2" s="33"/>
    </row>
    <row r="3" spans="1:8">
      <c r="A3" s="33">
        <v>1</v>
      </c>
      <c r="B3" s="34">
        <f>$B$2+A3-1</f>
        <v>608</v>
      </c>
      <c r="C3" s="34" t="str">
        <f>DEC2HEX(B3,4)</f>
        <v>0260</v>
      </c>
      <c r="D3" s="33"/>
      <c r="E3" s="33" t="s">
        <v>132</v>
      </c>
      <c r="F3" s="33" t="s">
        <v>512</v>
      </c>
      <c r="G3" s="33" t="s">
        <v>231</v>
      </c>
      <c r="H3" s="5" t="s">
        <v>232</v>
      </c>
    </row>
    <row r="4" spans="1:8">
      <c r="A4" s="33">
        <v>2</v>
      </c>
      <c r="B4" s="34">
        <f t="shared" ref="B4:B11" si="0">$B$2+A4-1</f>
        <v>609</v>
      </c>
      <c r="C4" s="34" t="str">
        <f t="shared" ref="C4:C11" si="1">DEC2HEX(B4,4)</f>
        <v>0261</v>
      </c>
      <c r="D4" s="33"/>
      <c r="E4" s="33" t="s">
        <v>132</v>
      </c>
      <c r="F4" s="33" t="s">
        <v>513</v>
      </c>
      <c r="G4" s="33" t="s">
        <v>231</v>
      </c>
      <c r="H4" s="5" t="s">
        <v>234</v>
      </c>
    </row>
    <row r="5" spans="1:8">
      <c r="A5" s="33">
        <v>3</v>
      </c>
      <c r="B5" s="34">
        <f t="shared" si="0"/>
        <v>610</v>
      </c>
      <c r="C5" s="34" t="str">
        <f t="shared" si="1"/>
        <v>0262</v>
      </c>
      <c r="D5" s="33"/>
      <c r="E5" s="33" t="s">
        <v>132</v>
      </c>
      <c r="F5" s="33" t="s">
        <v>514</v>
      </c>
      <c r="G5" s="33" t="s">
        <v>231</v>
      </c>
      <c r="H5" s="5" t="s">
        <v>234</v>
      </c>
    </row>
    <row r="6" spans="1:8">
      <c r="A6" s="33">
        <v>4</v>
      </c>
      <c r="B6" s="34">
        <f t="shared" si="0"/>
        <v>611</v>
      </c>
      <c r="C6" s="34" t="str">
        <f t="shared" si="1"/>
        <v>0263</v>
      </c>
      <c r="D6" s="33"/>
      <c r="E6" s="33" t="s">
        <v>132</v>
      </c>
      <c r="F6" s="33" t="s">
        <v>515</v>
      </c>
      <c r="G6" s="33" t="s">
        <v>231</v>
      </c>
      <c r="H6" s="5" t="s">
        <v>238</v>
      </c>
    </row>
    <row r="7" spans="1:8">
      <c r="A7" s="33">
        <v>5</v>
      </c>
      <c r="B7" s="34">
        <f t="shared" si="0"/>
        <v>612</v>
      </c>
      <c r="C7" s="34" t="str">
        <f t="shared" si="1"/>
        <v>0264</v>
      </c>
      <c r="D7" s="33"/>
      <c r="E7" s="33" t="s">
        <v>132</v>
      </c>
      <c r="F7" s="33" t="s">
        <v>516</v>
      </c>
      <c r="G7" s="33" t="s">
        <v>231</v>
      </c>
      <c r="H7" s="5" t="s">
        <v>238</v>
      </c>
    </row>
    <row r="8" spans="1:7">
      <c r="A8" s="33">
        <v>6</v>
      </c>
      <c r="B8" s="34">
        <f t="shared" si="0"/>
        <v>613</v>
      </c>
      <c r="C8" s="34" t="str">
        <f t="shared" si="1"/>
        <v>0265</v>
      </c>
      <c r="D8" s="33"/>
      <c r="E8" s="33" t="s">
        <v>132</v>
      </c>
      <c r="F8" s="33" t="s">
        <v>517</v>
      </c>
      <c r="G8" s="33" t="s">
        <v>231</v>
      </c>
    </row>
    <row r="9" spans="1:7">
      <c r="A9" s="33">
        <v>7</v>
      </c>
      <c r="B9" s="34">
        <f t="shared" si="0"/>
        <v>614</v>
      </c>
      <c r="C9" s="34" t="str">
        <f t="shared" si="1"/>
        <v>0266</v>
      </c>
      <c r="D9" s="33"/>
      <c r="E9" s="33" t="s">
        <v>132</v>
      </c>
      <c r="F9" s="33" t="s">
        <v>518</v>
      </c>
      <c r="G9" s="33" t="s">
        <v>231</v>
      </c>
    </row>
    <row r="10" spans="1:8">
      <c r="A10" s="33">
        <v>8</v>
      </c>
      <c r="B10" s="34">
        <f t="shared" si="0"/>
        <v>615</v>
      </c>
      <c r="C10" s="34" t="str">
        <f t="shared" si="1"/>
        <v>0267</v>
      </c>
      <c r="D10" s="33"/>
      <c r="E10" s="33" t="s">
        <v>132</v>
      </c>
      <c r="F10" s="33" t="s">
        <v>519</v>
      </c>
      <c r="G10" s="33" t="s">
        <v>114</v>
      </c>
      <c r="H10" s="62" t="s">
        <v>413</v>
      </c>
    </row>
    <row r="11" spans="1:12">
      <c r="A11" s="33">
        <v>9</v>
      </c>
      <c r="B11" s="34">
        <f t="shared" ref="B11:B18" si="2">$B$2+A11-1</f>
        <v>616</v>
      </c>
      <c r="C11" s="34" t="str">
        <f t="shared" ref="C11:C18" si="3">DEC2HEX(B11,4)</f>
        <v>0268</v>
      </c>
      <c r="D11" s="1"/>
      <c r="E11" s="1" t="s">
        <v>132</v>
      </c>
      <c r="F11" s="1" t="s">
        <v>520</v>
      </c>
      <c r="G11" s="1" t="s">
        <v>114</v>
      </c>
      <c r="H11" s="62" t="s">
        <v>413</v>
      </c>
      <c r="I11" s="5"/>
      <c r="J11" s="5"/>
      <c r="K11" s="5"/>
      <c r="L11" s="5"/>
    </row>
    <row r="12" spans="1:12">
      <c r="A12" s="33">
        <v>10</v>
      </c>
      <c r="B12" s="34">
        <f t="shared" si="2"/>
        <v>617</v>
      </c>
      <c r="C12" s="34" t="str">
        <f t="shared" si="3"/>
        <v>0269</v>
      </c>
      <c r="D12" s="5"/>
      <c r="E12" s="1" t="s">
        <v>132</v>
      </c>
      <c r="F12" s="1" t="s">
        <v>521</v>
      </c>
      <c r="G12" s="1" t="s">
        <v>114</v>
      </c>
      <c r="H12" s="62" t="s">
        <v>413</v>
      </c>
      <c r="I12" s="5"/>
      <c r="J12" s="5"/>
      <c r="K12" s="5"/>
      <c r="L12" s="5"/>
    </row>
    <row r="13" spans="1:12">
      <c r="A13" s="33">
        <v>11</v>
      </c>
      <c r="B13" s="34">
        <f t="shared" si="2"/>
        <v>618</v>
      </c>
      <c r="C13" s="34" t="str">
        <f t="shared" si="3"/>
        <v>026A</v>
      </c>
      <c r="D13" s="5"/>
      <c r="E13" s="1" t="s">
        <v>132</v>
      </c>
      <c r="F13" s="1" t="s">
        <v>522</v>
      </c>
      <c r="G13" s="1" t="s">
        <v>114</v>
      </c>
      <c r="H13" s="62" t="s">
        <v>413</v>
      </c>
      <c r="I13" s="5"/>
      <c r="J13" s="5"/>
      <c r="K13" s="5"/>
      <c r="L13" s="5"/>
    </row>
    <row r="14" spans="1:12">
      <c r="A14" s="33">
        <v>12</v>
      </c>
      <c r="B14" s="34">
        <f t="shared" si="2"/>
        <v>619</v>
      </c>
      <c r="C14" s="34" t="str">
        <f t="shared" si="3"/>
        <v>026B</v>
      </c>
      <c r="D14" s="5"/>
      <c r="E14" s="1" t="s">
        <v>132</v>
      </c>
      <c r="F14" s="1" t="s">
        <v>523</v>
      </c>
      <c r="G14" s="1" t="s">
        <v>114</v>
      </c>
      <c r="H14" s="62" t="s">
        <v>413</v>
      </c>
      <c r="I14" s="5"/>
      <c r="J14" s="5"/>
      <c r="K14" s="5"/>
      <c r="L14" s="5"/>
    </row>
    <row r="15" spans="1:12">
      <c r="A15" s="33">
        <v>13</v>
      </c>
      <c r="B15" s="34">
        <f t="shared" si="2"/>
        <v>620</v>
      </c>
      <c r="C15" s="34" t="str">
        <f t="shared" si="3"/>
        <v>026C</v>
      </c>
      <c r="D15" s="5"/>
      <c r="E15" s="1" t="s">
        <v>132</v>
      </c>
      <c r="F15" s="1" t="s">
        <v>524</v>
      </c>
      <c r="G15" s="1" t="s">
        <v>114</v>
      </c>
      <c r="H15" s="62" t="s">
        <v>413</v>
      </c>
      <c r="I15" s="5"/>
      <c r="J15" s="5"/>
      <c r="K15" s="5"/>
      <c r="L15" s="5"/>
    </row>
    <row r="16" spans="1:12">
      <c r="A16" s="33">
        <v>14</v>
      </c>
      <c r="B16" s="34">
        <f t="shared" si="2"/>
        <v>621</v>
      </c>
      <c r="C16" s="34" t="str">
        <f t="shared" si="3"/>
        <v>026D</v>
      </c>
      <c r="D16" s="5"/>
      <c r="E16" s="1" t="s">
        <v>132</v>
      </c>
      <c r="F16" s="1" t="s">
        <v>525</v>
      </c>
      <c r="G16" s="1" t="s">
        <v>114</v>
      </c>
      <c r="H16" s="62" t="s">
        <v>413</v>
      </c>
      <c r="I16" s="5"/>
      <c r="J16" s="5"/>
      <c r="K16" s="5"/>
      <c r="L16" s="5"/>
    </row>
    <row r="17" spans="1:12">
      <c r="A17" s="33">
        <v>15</v>
      </c>
      <c r="B17" s="34">
        <f t="shared" si="2"/>
        <v>622</v>
      </c>
      <c r="C17" s="34" t="str">
        <f t="shared" si="3"/>
        <v>026E</v>
      </c>
      <c r="D17" s="5"/>
      <c r="E17" s="1" t="s">
        <v>132</v>
      </c>
      <c r="F17" s="1" t="s">
        <v>526</v>
      </c>
      <c r="G17" s="1" t="s">
        <v>114</v>
      </c>
      <c r="H17" s="62" t="s">
        <v>413</v>
      </c>
      <c r="I17" s="5"/>
      <c r="J17" s="5"/>
      <c r="K17" s="5"/>
      <c r="L17" s="5"/>
    </row>
    <row r="18" spans="1:12">
      <c r="A18" s="33">
        <v>16</v>
      </c>
      <c r="B18" s="34">
        <f t="shared" si="2"/>
        <v>623</v>
      </c>
      <c r="C18" s="34" t="str">
        <f t="shared" si="3"/>
        <v>026F</v>
      </c>
      <c r="D18" s="5"/>
      <c r="E18" s="5"/>
      <c r="F18" s="5"/>
      <c r="G18" s="5"/>
      <c r="I18" s="5"/>
      <c r="J18" s="5"/>
      <c r="K18" s="5"/>
      <c r="L18" s="5"/>
    </row>
    <row r="19" spans="1:12">
      <c r="A19" s="33">
        <v>17</v>
      </c>
      <c r="B19" s="34">
        <f t="shared" ref="B19:B66" si="4">$B$2+A19-1</f>
        <v>624</v>
      </c>
      <c r="C19" s="34" t="str">
        <f t="shared" ref="C19:C66" si="5">DEC2HEX(B19,4)</f>
        <v>0270</v>
      </c>
      <c r="D19" s="5"/>
      <c r="E19" s="1" t="s">
        <v>132</v>
      </c>
      <c r="F19" s="1" t="s">
        <v>321</v>
      </c>
      <c r="G19" s="1" t="s">
        <v>231</v>
      </c>
      <c r="H19" s="5" t="s">
        <v>232</v>
      </c>
      <c r="I19" s="5"/>
      <c r="J19" s="5"/>
      <c r="K19" s="5"/>
      <c r="L19" s="5"/>
    </row>
    <row r="20" spans="1:12">
      <c r="A20" s="33">
        <v>18</v>
      </c>
      <c r="B20" s="34">
        <f t="shared" si="4"/>
        <v>625</v>
      </c>
      <c r="C20" s="34" t="str">
        <f t="shared" si="5"/>
        <v>0271</v>
      </c>
      <c r="D20" s="5"/>
      <c r="E20" s="1" t="s">
        <v>132</v>
      </c>
      <c r="F20" s="1" t="s">
        <v>323</v>
      </c>
      <c r="G20" s="1" t="s">
        <v>231</v>
      </c>
      <c r="H20" s="5" t="s">
        <v>234</v>
      </c>
      <c r="I20" s="5"/>
      <c r="J20" s="5"/>
      <c r="K20" s="5"/>
      <c r="L20" s="5"/>
    </row>
    <row r="21" spans="1:12">
      <c r="A21" s="33">
        <v>19</v>
      </c>
      <c r="B21" s="34">
        <f t="shared" si="4"/>
        <v>626</v>
      </c>
      <c r="C21" s="34" t="str">
        <f t="shared" si="5"/>
        <v>0272</v>
      </c>
      <c r="D21" s="5"/>
      <c r="E21" s="1" t="s">
        <v>132</v>
      </c>
      <c r="F21" s="1" t="s">
        <v>325</v>
      </c>
      <c r="G21" s="1" t="s">
        <v>231</v>
      </c>
      <c r="H21" s="5" t="s">
        <v>238</v>
      </c>
      <c r="I21" s="5"/>
      <c r="J21" s="5"/>
      <c r="K21" s="5"/>
      <c r="L21" s="5"/>
    </row>
    <row r="22" spans="1:12">
      <c r="A22" s="33">
        <v>20</v>
      </c>
      <c r="B22" s="34">
        <f t="shared" si="4"/>
        <v>627</v>
      </c>
      <c r="C22" s="34" t="str">
        <f t="shared" si="5"/>
        <v>0273</v>
      </c>
      <c r="D22" s="5"/>
      <c r="E22" s="1" t="s">
        <v>132</v>
      </c>
      <c r="F22" s="1" t="s">
        <v>527</v>
      </c>
      <c r="G22" s="1" t="s">
        <v>231</v>
      </c>
      <c r="I22" s="5"/>
      <c r="J22" s="5"/>
      <c r="K22" s="5"/>
      <c r="L22" s="5"/>
    </row>
    <row r="23" spans="1:12">
      <c r="A23" s="33">
        <v>21</v>
      </c>
      <c r="B23" s="34">
        <f t="shared" si="4"/>
        <v>628</v>
      </c>
      <c r="C23" s="34" t="str">
        <f t="shared" si="5"/>
        <v>0274</v>
      </c>
      <c r="D23" s="5"/>
      <c r="E23" s="1" t="s">
        <v>132</v>
      </c>
      <c r="F23" s="1" t="s">
        <v>528</v>
      </c>
      <c r="G23" s="1" t="s">
        <v>231</v>
      </c>
      <c r="I23" s="5"/>
      <c r="J23" s="5"/>
      <c r="K23" s="5"/>
      <c r="L23" s="5"/>
    </row>
    <row r="24" s="62" customFormat="1" spans="1:8">
      <c r="A24" s="63">
        <v>22</v>
      </c>
      <c r="B24" s="64">
        <f t="shared" si="4"/>
        <v>629</v>
      </c>
      <c r="C24" s="64" t="str">
        <f t="shared" si="5"/>
        <v>0275</v>
      </c>
      <c r="E24" s="63" t="s">
        <v>132</v>
      </c>
      <c r="F24" s="63" t="s">
        <v>529</v>
      </c>
      <c r="G24" s="63" t="s">
        <v>114</v>
      </c>
      <c r="H24" s="62" t="s">
        <v>413</v>
      </c>
    </row>
    <row r="25" s="62" customFormat="1" spans="1:8">
      <c r="A25" s="63">
        <v>23</v>
      </c>
      <c r="B25" s="64">
        <f t="shared" si="4"/>
        <v>630</v>
      </c>
      <c r="C25" s="64" t="str">
        <f t="shared" si="5"/>
        <v>0276</v>
      </c>
      <c r="E25" s="63" t="s">
        <v>132</v>
      </c>
      <c r="F25" s="63" t="s">
        <v>530</v>
      </c>
      <c r="G25" s="63" t="s">
        <v>114</v>
      </c>
      <c r="H25" s="62" t="s">
        <v>413</v>
      </c>
    </row>
    <row r="26" s="62" customFormat="1" spans="1:8">
      <c r="A26" s="63">
        <v>24</v>
      </c>
      <c r="B26" s="64">
        <f t="shared" si="4"/>
        <v>631</v>
      </c>
      <c r="C26" s="64" t="str">
        <f t="shared" si="5"/>
        <v>0277</v>
      </c>
      <c r="E26" s="63" t="s">
        <v>132</v>
      </c>
      <c r="F26" s="63" t="s">
        <v>531</v>
      </c>
      <c r="G26" s="63" t="s">
        <v>114</v>
      </c>
      <c r="H26" s="62" t="s">
        <v>413</v>
      </c>
    </row>
    <row r="27" s="62" customFormat="1" spans="1:8">
      <c r="A27" s="63">
        <v>25</v>
      </c>
      <c r="B27" s="64">
        <f t="shared" si="4"/>
        <v>632</v>
      </c>
      <c r="C27" s="64" t="str">
        <f t="shared" si="5"/>
        <v>0278</v>
      </c>
      <c r="E27" s="63" t="s">
        <v>132</v>
      </c>
      <c r="F27" s="63" t="s">
        <v>532</v>
      </c>
      <c r="G27" s="63" t="s">
        <v>114</v>
      </c>
      <c r="H27" s="62" t="s">
        <v>413</v>
      </c>
    </row>
    <row r="28" s="62" customFormat="1" spans="1:8">
      <c r="A28" s="63">
        <v>26</v>
      </c>
      <c r="B28" s="64">
        <f t="shared" si="4"/>
        <v>633</v>
      </c>
      <c r="C28" s="64" t="str">
        <f t="shared" si="5"/>
        <v>0279</v>
      </c>
      <c r="E28" s="63" t="s">
        <v>132</v>
      </c>
      <c r="F28" s="63" t="s">
        <v>533</v>
      </c>
      <c r="G28" s="63" t="s">
        <v>114</v>
      </c>
      <c r="H28" s="62" t="s">
        <v>413</v>
      </c>
    </row>
    <row r="29" s="62" customFormat="1" spans="1:8">
      <c r="A29" s="63">
        <v>27</v>
      </c>
      <c r="B29" s="64">
        <f t="shared" si="4"/>
        <v>634</v>
      </c>
      <c r="C29" s="64" t="str">
        <f t="shared" si="5"/>
        <v>027A</v>
      </c>
      <c r="E29" s="63" t="s">
        <v>132</v>
      </c>
      <c r="F29" s="63" t="s">
        <v>534</v>
      </c>
      <c r="G29" s="63" t="s">
        <v>114</v>
      </c>
      <c r="H29" s="62" t="s">
        <v>413</v>
      </c>
    </row>
    <row r="30" s="62" customFormat="1" spans="1:8">
      <c r="A30" s="63">
        <v>28</v>
      </c>
      <c r="B30" s="64">
        <f t="shared" si="4"/>
        <v>635</v>
      </c>
      <c r="C30" s="64" t="str">
        <f t="shared" si="5"/>
        <v>027B</v>
      </c>
      <c r="E30" s="63" t="s">
        <v>132</v>
      </c>
      <c r="F30" s="63" t="s">
        <v>535</v>
      </c>
      <c r="G30" s="63" t="s">
        <v>114</v>
      </c>
      <c r="H30" s="62" t="s">
        <v>413</v>
      </c>
    </row>
    <row r="31" s="62" customFormat="1" spans="1:8">
      <c r="A31" s="63">
        <v>29</v>
      </c>
      <c r="B31" s="64">
        <f t="shared" si="4"/>
        <v>636</v>
      </c>
      <c r="C31" s="64" t="str">
        <f t="shared" si="5"/>
        <v>027C</v>
      </c>
      <c r="E31" s="63" t="s">
        <v>132</v>
      </c>
      <c r="F31" s="63" t="s">
        <v>536</v>
      </c>
      <c r="G31" s="63" t="s">
        <v>114</v>
      </c>
      <c r="H31" s="62" t="s">
        <v>413</v>
      </c>
    </row>
    <row r="32" spans="1:12">
      <c r="A32" s="33">
        <v>30</v>
      </c>
      <c r="B32" s="34">
        <f t="shared" si="4"/>
        <v>637</v>
      </c>
      <c r="C32" s="34" t="str">
        <f t="shared" si="5"/>
        <v>027D</v>
      </c>
      <c r="D32" s="5"/>
      <c r="E32" s="5"/>
      <c r="F32" s="5"/>
      <c r="G32" s="5"/>
      <c r="I32" s="5"/>
      <c r="J32" s="5"/>
      <c r="K32" s="5"/>
      <c r="L32" s="5"/>
    </row>
    <row r="33" spans="1:12">
      <c r="A33" s="33">
        <v>31</v>
      </c>
      <c r="B33" s="34">
        <f t="shared" si="4"/>
        <v>638</v>
      </c>
      <c r="C33" s="34" t="str">
        <f t="shared" si="5"/>
        <v>027E</v>
      </c>
      <c r="D33" s="5"/>
      <c r="E33" s="5"/>
      <c r="F33" s="5"/>
      <c r="G33" s="5"/>
      <c r="I33" s="5"/>
      <c r="J33" s="5"/>
      <c r="K33" s="5"/>
      <c r="L33" s="5"/>
    </row>
    <row r="34" spans="1:12">
      <c r="A34" s="33">
        <v>32</v>
      </c>
      <c r="B34" s="34">
        <f t="shared" si="4"/>
        <v>639</v>
      </c>
      <c r="C34" s="34" t="str">
        <f t="shared" si="5"/>
        <v>027F</v>
      </c>
      <c r="D34" s="5"/>
      <c r="E34" s="1"/>
      <c r="F34" s="5"/>
      <c r="G34" s="5"/>
      <c r="I34" s="5"/>
      <c r="J34" s="5"/>
      <c r="K34" s="5"/>
      <c r="L34" s="5"/>
    </row>
    <row r="35" spans="1:12">
      <c r="A35" s="33">
        <v>33</v>
      </c>
      <c r="B35" s="34">
        <f t="shared" si="4"/>
        <v>640</v>
      </c>
      <c r="C35" s="34" t="str">
        <f t="shared" si="5"/>
        <v>0280</v>
      </c>
      <c r="D35" s="5"/>
      <c r="E35" s="1" t="s">
        <v>132</v>
      </c>
      <c r="F35" s="1" t="s">
        <v>326</v>
      </c>
      <c r="G35" s="1" t="s">
        <v>231</v>
      </c>
      <c r="H35" s="5" t="s">
        <v>232</v>
      </c>
      <c r="I35" s="5"/>
      <c r="J35" s="5"/>
      <c r="K35" s="5"/>
      <c r="L35" s="5"/>
    </row>
    <row r="36" spans="1:12">
      <c r="A36" s="33">
        <v>34</v>
      </c>
      <c r="B36" s="34">
        <f t="shared" si="4"/>
        <v>641</v>
      </c>
      <c r="C36" s="34" t="str">
        <f t="shared" si="5"/>
        <v>0281</v>
      </c>
      <c r="D36" s="5"/>
      <c r="E36" s="1" t="s">
        <v>132</v>
      </c>
      <c r="F36" s="1" t="s">
        <v>328</v>
      </c>
      <c r="G36" s="1" t="s">
        <v>231</v>
      </c>
      <c r="H36" s="5" t="s">
        <v>234</v>
      </c>
      <c r="I36" s="5"/>
      <c r="J36" s="5"/>
      <c r="K36" s="5"/>
      <c r="L36" s="5"/>
    </row>
    <row r="37" spans="1:12">
      <c r="A37" s="33">
        <v>35</v>
      </c>
      <c r="B37" s="34">
        <f t="shared" si="4"/>
        <v>642</v>
      </c>
      <c r="C37" s="34" t="str">
        <f t="shared" si="5"/>
        <v>0282</v>
      </c>
      <c r="D37" s="5"/>
      <c r="E37" s="1" t="s">
        <v>132</v>
      </c>
      <c r="F37" s="1" t="s">
        <v>330</v>
      </c>
      <c r="G37" s="1" t="s">
        <v>231</v>
      </c>
      <c r="H37" s="5" t="s">
        <v>238</v>
      </c>
      <c r="I37" s="5"/>
      <c r="J37" s="5"/>
      <c r="K37" s="5"/>
      <c r="L37" s="5"/>
    </row>
    <row r="38" spans="1:12">
      <c r="A38" s="33">
        <v>36</v>
      </c>
      <c r="B38" s="34">
        <f t="shared" si="4"/>
        <v>643</v>
      </c>
      <c r="C38" s="34" t="str">
        <f t="shared" si="5"/>
        <v>0283</v>
      </c>
      <c r="D38" s="5"/>
      <c r="E38" s="1" t="s">
        <v>132</v>
      </c>
      <c r="F38" s="1" t="s">
        <v>537</v>
      </c>
      <c r="G38" s="1" t="s">
        <v>231</v>
      </c>
      <c r="I38" s="5"/>
      <c r="J38" s="5"/>
      <c r="K38" s="5"/>
      <c r="L38" s="5"/>
    </row>
    <row r="39" spans="1:12">
      <c r="A39" s="33">
        <v>37</v>
      </c>
      <c r="B39" s="34">
        <f t="shared" si="4"/>
        <v>644</v>
      </c>
      <c r="C39" s="34" t="str">
        <f t="shared" si="5"/>
        <v>0284</v>
      </c>
      <c r="D39" s="5"/>
      <c r="E39" s="1" t="s">
        <v>132</v>
      </c>
      <c r="F39" s="1" t="s">
        <v>538</v>
      </c>
      <c r="G39" s="1" t="s">
        <v>231</v>
      </c>
      <c r="I39" s="5"/>
      <c r="J39" s="5"/>
      <c r="K39" s="5"/>
      <c r="L39" s="5"/>
    </row>
    <row r="40" spans="1:12">
      <c r="A40" s="33">
        <v>38</v>
      </c>
      <c r="B40" s="34">
        <f t="shared" si="4"/>
        <v>645</v>
      </c>
      <c r="C40" s="34" t="str">
        <f t="shared" si="5"/>
        <v>0285</v>
      </c>
      <c r="D40" s="5"/>
      <c r="E40" s="1" t="s">
        <v>132</v>
      </c>
      <c r="F40" s="1" t="s">
        <v>539</v>
      </c>
      <c r="G40" s="1" t="s">
        <v>114</v>
      </c>
      <c r="H40" s="62" t="s">
        <v>413</v>
      </c>
      <c r="I40" s="5"/>
      <c r="J40" s="5"/>
      <c r="K40" s="5"/>
      <c r="L40" s="5"/>
    </row>
    <row r="41" spans="1:12">
      <c r="A41" s="33">
        <v>39</v>
      </c>
      <c r="B41" s="34">
        <f t="shared" si="4"/>
        <v>646</v>
      </c>
      <c r="C41" s="34" t="str">
        <f t="shared" si="5"/>
        <v>0286</v>
      </c>
      <c r="D41" s="5"/>
      <c r="E41" s="1" t="s">
        <v>132</v>
      </c>
      <c r="F41" s="1" t="s">
        <v>540</v>
      </c>
      <c r="G41" s="1" t="s">
        <v>114</v>
      </c>
      <c r="H41" s="62" t="s">
        <v>413</v>
      </c>
      <c r="I41" s="5"/>
      <c r="J41" s="5"/>
      <c r="K41" s="5"/>
      <c r="L41" s="5"/>
    </row>
    <row r="42" spans="1:12">
      <c r="A42" s="33">
        <v>40</v>
      </c>
      <c r="B42" s="34">
        <f t="shared" si="4"/>
        <v>647</v>
      </c>
      <c r="C42" s="34" t="str">
        <f t="shared" si="5"/>
        <v>0287</v>
      </c>
      <c r="D42" s="5"/>
      <c r="E42" s="1" t="s">
        <v>132</v>
      </c>
      <c r="F42" s="1" t="s">
        <v>541</v>
      </c>
      <c r="G42" s="1" t="s">
        <v>114</v>
      </c>
      <c r="H42" s="62" t="s">
        <v>413</v>
      </c>
      <c r="I42" s="5"/>
      <c r="J42" s="5"/>
      <c r="K42" s="5"/>
      <c r="L42" s="5"/>
    </row>
    <row r="43" spans="1:12">
      <c r="A43" s="33">
        <v>41</v>
      </c>
      <c r="B43" s="34">
        <f t="shared" si="4"/>
        <v>648</v>
      </c>
      <c r="C43" s="34" t="str">
        <f t="shared" si="5"/>
        <v>0288</v>
      </c>
      <c r="D43" s="5"/>
      <c r="E43" s="1" t="s">
        <v>132</v>
      </c>
      <c r="F43" s="1" t="s">
        <v>542</v>
      </c>
      <c r="G43" s="1" t="s">
        <v>114</v>
      </c>
      <c r="H43" s="62" t="s">
        <v>413</v>
      </c>
      <c r="I43" s="5"/>
      <c r="J43" s="5"/>
      <c r="K43" s="5"/>
      <c r="L43" s="5"/>
    </row>
    <row r="44" spans="1:12">
      <c r="A44" s="33">
        <v>42</v>
      </c>
      <c r="B44" s="34">
        <f t="shared" si="4"/>
        <v>649</v>
      </c>
      <c r="C44" s="34" t="str">
        <f t="shared" si="5"/>
        <v>0289</v>
      </c>
      <c r="D44" s="5"/>
      <c r="E44" s="1" t="s">
        <v>132</v>
      </c>
      <c r="F44" s="1" t="s">
        <v>543</v>
      </c>
      <c r="G44" s="1" t="s">
        <v>114</v>
      </c>
      <c r="H44" s="62" t="s">
        <v>413</v>
      </c>
      <c r="I44" s="5"/>
      <c r="J44" s="5"/>
      <c r="K44" s="5"/>
      <c r="L44" s="5"/>
    </row>
    <row r="45" spans="1:12">
      <c r="A45" s="33">
        <v>43</v>
      </c>
      <c r="B45" s="34">
        <f t="shared" si="4"/>
        <v>650</v>
      </c>
      <c r="C45" s="34" t="str">
        <f t="shared" si="5"/>
        <v>028A</v>
      </c>
      <c r="D45" s="5"/>
      <c r="E45" s="1" t="s">
        <v>132</v>
      </c>
      <c r="F45" s="1" t="s">
        <v>544</v>
      </c>
      <c r="G45" s="1" t="s">
        <v>114</v>
      </c>
      <c r="H45" s="62" t="s">
        <v>413</v>
      </c>
      <c r="I45" s="5"/>
      <c r="J45" s="5"/>
      <c r="K45" s="5"/>
      <c r="L45" s="5"/>
    </row>
    <row r="46" spans="1:12">
      <c r="A46" s="33">
        <v>44</v>
      </c>
      <c r="B46" s="34">
        <f t="shared" si="4"/>
        <v>651</v>
      </c>
      <c r="C46" s="34" t="str">
        <f t="shared" si="5"/>
        <v>028B</v>
      </c>
      <c r="D46" s="5"/>
      <c r="E46" s="1" t="s">
        <v>132</v>
      </c>
      <c r="F46" s="1" t="s">
        <v>545</v>
      </c>
      <c r="G46" s="1" t="s">
        <v>114</v>
      </c>
      <c r="H46" s="62" t="s">
        <v>413</v>
      </c>
      <c r="I46" s="5"/>
      <c r="J46" s="5"/>
      <c r="K46" s="5"/>
      <c r="L46" s="5"/>
    </row>
    <row r="47" spans="1:12">
      <c r="A47" s="33">
        <v>45</v>
      </c>
      <c r="B47" s="34">
        <f t="shared" si="4"/>
        <v>652</v>
      </c>
      <c r="C47" s="34" t="str">
        <f t="shared" si="5"/>
        <v>028C</v>
      </c>
      <c r="D47" s="5"/>
      <c r="E47" s="1" t="s">
        <v>132</v>
      </c>
      <c r="F47" s="1" t="s">
        <v>546</v>
      </c>
      <c r="G47" s="1" t="s">
        <v>114</v>
      </c>
      <c r="H47" s="62" t="s">
        <v>413</v>
      </c>
      <c r="I47" s="5"/>
      <c r="J47" s="5"/>
      <c r="K47" s="5"/>
      <c r="L47" s="5"/>
    </row>
    <row r="48" spans="1:12">
      <c r="A48" s="33">
        <v>46</v>
      </c>
      <c r="B48" s="34">
        <f t="shared" si="4"/>
        <v>653</v>
      </c>
      <c r="C48" s="34" t="str">
        <f t="shared" si="5"/>
        <v>028D</v>
      </c>
      <c r="D48" s="5"/>
      <c r="E48" s="5"/>
      <c r="F48" s="5"/>
      <c r="G48" s="5"/>
      <c r="I48" s="5"/>
      <c r="J48" s="5"/>
      <c r="K48" s="5"/>
      <c r="L48" s="5"/>
    </row>
    <row r="49" spans="1:3">
      <c r="A49" s="33">
        <v>47</v>
      </c>
      <c r="B49" s="34">
        <f t="shared" si="4"/>
        <v>654</v>
      </c>
      <c r="C49" s="34" t="str">
        <f t="shared" si="5"/>
        <v>028E</v>
      </c>
    </row>
    <row r="50" spans="1:3">
      <c r="A50" s="33">
        <v>48</v>
      </c>
      <c r="B50" s="34">
        <f t="shared" si="4"/>
        <v>655</v>
      </c>
      <c r="C50" s="34" t="str">
        <f t="shared" si="5"/>
        <v>028F</v>
      </c>
    </row>
    <row r="51" spans="1:3">
      <c r="A51" s="33">
        <v>49</v>
      </c>
      <c r="B51" s="34">
        <f t="shared" si="4"/>
        <v>656</v>
      </c>
      <c r="C51" s="34" t="str">
        <f t="shared" si="5"/>
        <v>0290</v>
      </c>
    </row>
    <row r="52" spans="1:3">
      <c r="A52" s="33">
        <v>50</v>
      </c>
      <c r="B52" s="34">
        <f t="shared" si="4"/>
        <v>657</v>
      </c>
      <c r="C52" s="34" t="str">
        <f t="shared" si="5"/>
        <v>0291</v>
      </c>
    </row>
    <row r="53" spans="1:3">
      <c r="A53" s="33">
        <v>51</v>
      </c>
      <c r="B53" s="34">
        <f t="shared" si="4"/>
        <v>658</v>
      </c>
      <c r="C53" s="34" t="str">
        <f t="shared" si="5"/>
        <v>0292</v>
      </c>
    </row>
    <row r="54" spans="1:3">
      <c r="A54" s="33">
        <v>52</v>
      </c>
      <c r="B54" s="34">
        <f t="shared" si="4"/>
        <v>659</v>
      </c>
      <c r="C54" s="34" t="str">
        <f t="shared" si="5"/>
        <v>0293</v>
      </c>
    </row>
    <row r="55" spans="1:3">
      <c r="A55" s="33">
        <v>53</v>
      </c>
      <c r="B55" s="34">
        <f t="shared" si="4"/>
        <v>660</v>
      </c>
      <c r="C55" s="34" t="str">
        <f t="shared" si="5"/>
        <v>0294</v>
      </c>
    </row>
    <row r="56" spans="1:3">
      <c r="A56" s="33">
        <v>54</v>
      </c>
      <c r="B56" s="34">
        <f t="shared" si="4"/>
        <v>661</v>
      </c>
      <c r="C56" s="34" t="str">
        <f t="shared" si="5"/>
        <v>0295</v>
      </c>
    </row>
    <row r="57" spans="1:3">
      <c r="A57" s="33">
        <v>55</v>
      </c>
      <c r="B57" s="34">
        <f t="shared" si="4"/>
        <v>662</v>
      </c>
      <c r="C57" s="34" t="str">
        <f t="shared" si="5"/>
        <v>0296</v>
      </c>
    </row>
    <row r="58" spans="1:3">
      <c r="A58" s="33">
        <v>56</v>
      </c>
      <c r="B58" s="34">
        <f t="shared" si="4"/>
        <v>663</v>
      </c>
      <c r="C58" s="34" t="str">
        <f t="shared" si="5"/>
        <v>0297</v>
      </c>
    </row>
    <row r="59" spans="1:3">
      <c r="A59" s="33">
        <v>57</v>
      </c>
      <c r="B59" s="34">
        <f t="shared" si="4"/>
        <v>664</v>
      </c>
      <c r="C59" s="34" t="str">
        <f t="shared" si="5"/>
        <v>0298</v>
      </c>
    </row>
    <row r="60" spans="1:3">
      <c r="A60" s="33">
        <v>58</v>
      </c>
      <c r="B60" s="34">
        <f t="shared" si="4"/>
        <v>665</v>
      </c>
      <c r="C60" s="34" t="str">
        <f t="shared" si="5"/>
        <v>0299</v>
      </c>
    </row>
    <row r="61" spans="1:3">
      <c r="A61" s="33">
        <v>59</v>
      </c>
      <c r="B61" s="34">
        <f t="shared" si="4"/>
        <v>666</v>
      </c>
      <c r="C61" s="34" t="str">
        <f t="shared" si="5"/>
        <v>029A</v>
      </c>
    </row>
    <row r="62" spans="1:3">
      <c r="A62" s="33">
        <v>60</v>
      </c>
      <c r="B62" s="34">
        <f t="shared" si="4"/>
        <v>667</v>
      </c>
      <c r="C62" s="34" t="str">
        <f t="shared" si="5"/>
        <v>029B</v>
      </c>
    </row>
    <row r="63" spans="1:3">
      <c r="A63" s="33">
        <v>61</v>
      </c>
      <c r="B63" s="34">
        <f t="shared" si="4"/>
        <v>668</v>
      </c>
      <c r="C63" s="34" t="str">
        <f t="shared" si="5"/>
        <v>029C</v>
      </c>
    </row>
    <row r="64" spans="1:3">
      <c r="A64" s="33">
        <v>62</v>
      </c>
      <c r="B64" s="34">
        <f t="shared" si="4"/>
        <v>669</v>
      </c>
      <c r="C64" s="34" t="str">
        <f t="shared" si="5"/>
        <v>029D</v>
      </c>
    </row>
    <row r="65" spans="1:3">
      <c r="A65" s="33">
        <v>63</v>
      </c>
      <c r="B65" s="34">
        <f t="shared" si="4"/>
        <v>670</v>
      </c>
      <c r="C65" s="34" t="str">
        <f t="shared" si="5"/>
        <v>029E</v>
      </c>
    </row>
    <row r="66" spans="1:3">
      <c r="A66" s="33">
        <v>64</v>
      </c>
      <c r="B66" s="34">
        <f t="shared" si="4"/>
        <v>671</v>
      </c>
      <c r="C66" s="34" t="str">
        <f t="shared" si="5"/>
        <v>029F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7"/>
  <dimension ref="A1:K66"/>
  <sheetViews>
    <sheetView topLeftCell="A58" workbookViewId="0">
      <selection activeCell="L33" sqref="L33"/>
    </sheetView>
  </sheetViews>
  <sheetFormatPr defaultColWidth="8.73636363636364" defaultRowHeight="14"/>
  <cols>
    <col min="1" max="1" width="5.55454545454545" customWidth="1"/>
    <col min="2" max="2" width="14" customWidth="1"/>
    <col min="3" max="3" width="5.55454545454545" customWidth="1"/>
    <col min="4" max="4" width="7.55454545454545" customWidth="1"/>
    <col min="5" max="5" width="5.55454545454545" customWidth="1"/>
    <col min="6" max="7" width="16.2636363636364" customWidth="1"/>
    <col min="8" max="9" width="5.55454545454545" customWidth="1"/>
    <col min="10" max="11" width="7.55454545454545" customWidth="1"/>
  </cols>
  <sheetData>
    <row r="1" spans="1:11">
      <c r="A1" s="33" t="s">
        <v>99</v>
      </c>
      <c r="B1" s="33" t="s">
        <v>100</v>
      </c>
      <c r="C1" s="33" t="s">
        <v>101</v>
      </c>
      <c r="D1" s="33" t="s">
        <v>102</v>
      </c>
      <c r="E1" s="33" t="s">
        <v>103</v>
      </c>
      <c r="F1" s="33" t="s">
        <v>104</v>
      </c>
      <c r="G1" s="33" t="s">
        <v>105</v>
      </c>
      <c r="H1" s="33" t="s">
        <v>106</v>
      </c>
      <c r="I1" s="33" t="s">
        <v>107</v>
      </c>
      <c r="J1" s="33" t="s">
        <v>108</v>
      </c>
      <c r="K1" s="33" t="s">
        <v>109</v>
      </c>
    </row>
    <row r="2" s="33" customFormat="1" spans="2:9">
      <c r="B2" s="33">
        <f>HEX2DEC(C2)</f>
        <v>672</v>
      </c>
      <c r="C2" s="33" t="s">
        <v>547</v>
      </c>
      <c r="F2" s="33" t="s">
        <v>548</v>
      </c>
      <c r="H2" s="35"/>
      <c r="I2" s="35"/>
    </row>
    <row r="3" s="33" customFormat="1" spans="1:9">
      <c r="A3" s="33">
        <v>1</v>
      </c>
      <c r="B3" s="34">
        <f>$B$2+A3-1</f>
        <v>672</v>
      </c>
      <c r="C3" s="34" t="str">
        <f>DEC2HEX(B3,4)</f>
        <v>02A0</v>
      </c>
      <c r="E3" s="33" t="s">
        <v>132</v>
      </c>
      <c r="F3" s="33" t="s">
        <v>549</v>
      </c>
      <c r="G3" s="33" t="s">
        <v>231</v>
      </c>
      <c r="H3" s="35" t="s">
        <v>550</v>
      </c>
      <c r="I3" s="35"/>
    </row>
    <row r="4" s="33" customFormat="1" spans="1:9">
      <c r="A4" s="33">
        <v>2</v>
      </c>
      <c r="B4" s="34">
        <f>$B$2+A4-1</f>
        <v>673</v>
      </c>
      <c r="C4" s="34" t="str">
        <f t="shared" ref="C4:C9" si="0">DEC2HEX(B4,4)</f>
        <v>02A1</v>
      </c>
      <c r="E4" s="33" t="s">
        <v>132</v>
      </c>
      <c r="F4" s="33" t="s">
        <v>551</v>
      </c>
      <c r="G4" s="33" t="s">
        <v>231</v>
      </c>
      <c r="H4" s="35" t="s">
        <v>236</v>
      </c>
      <c r="I4" s="35"/>
    </row>
    <row r="5" s="33" customFormat="1" spans="1:9">
      <c r="A5" s="33">
        <v>3</v>
      </c>
      <c r="B5" s="34">
        <f>$B$2+A5-1</f>
        <v>674</v>
      </c>
      <c r="C5" s="34" t="str">
        <f t="shared" si="0"/>
        <v>02A2</v>
      </c>
      <c r="F5" s="1"/>
      <c r="G5" s="1"/>
      <c r="H5" s="13"/>
      <c r="I5" s="35"/>
    </row>
    <row r="6" s="33" customFormat="1" spans="1:9">
      <c r="A6" s="33">
        <v>4</v>
      </c>
      <c r="B6" s="34">
        <f>$B$2+A6-1</f>
        <v>675</v>
      </c>
      <c r="C6" s="34" t="str">
        <f t="shared" si="0"/>
        <v>02A3</v>
      </c>
      <c r="F6" s="1"/>
      <c r="G6" s="1"/>
      <c r="H6" s="13"/>
      <c r="I6" s="35"/>
    </row>
    <row r="7" s="33" customFormat="1" spans="1:9">
      <c r="A7" s="33">
        <v>5</v>
      </c>
      <c r="B7" s="34">
        <f>$B$2+A7-1</f>
        <v>676</v>
      </c>
      <c r="C7" s="34" t="str">
        <f t="shared" si="0"/>
        <v>02A4</v>
      </c>
      <c r="I7" s="35"/>
    </row>
    <row r="8" s="33" customFormat="1" spans="1:9">
      <c r="A8" s="33">
        <v>6</v>
      </c>
      <c r="B8" s="34">
        <f>$B$2+A8-1</f>
        <v>677</v>
      </c>
      <c r="C8" s="34" t="str">
        <f t="shared" si="0"/>
        <v>02A5</v>
      </c>
      <c r="I8" s="35"/>
    </row>
    <row r="9" s="33" customFormat="1" spans="1:9">
      <c r="A9" s="33">
        <v>7</v>
      </c>
      <c r="B9" s="34">
        <f t="shared" ref="B9:B18" si="1">$B$2+A9-1</f>
        <v>678</v>
      </c>
      <c r="C9" s="34" t="str">
        <f t="shared" ref="C9:C18" si="2">DEC2HEX(B9,4)</f>
        <v>02A6</v>
      </c>
      <c r="I9" s="35"/>
    </row>
    <row r="10" spans="1:3">
      <c r="A10" s="33">
        <v>8</v>
      </c>
      <c r="B10" s="34">
        <f t="shared" si="1"/>
        <v>679</v>
      </c>
      <c r="C10" s="34" t="str">
        <f t="shared" si="2"/>
        <v>02A7</v>
      </c>
    </row>
    <row r="11" spans="1:3">
      <c r="A11" s="33">
        <v>9</v>
      </c>
      <c r="B11" s="34">
        <f t="shared" si="1"/>
        <v>680</v>
      </c>
      <c r="C11" s="34" t="str">
        <f t="shared" si="2"/>
        <v>02A8</v>
      </c>
    </row>
    <row r="12" spans="1:3">
      <c r="A12" s="33">
        <v>10</v>
      </c>
      <c r="B12" s="34">
        <f t="shared" si="1"/>
        <v>681</v>
      </c>
      <c r="C12" s="34" t="str">
        <f t="shared" si="2"/>
        <v>02A9</v>
      </c>
    </row>
    <row r="13" spans="1:8">
      <c r="A13" s="33">
        <v>11</v>
      </c>
      <c r="B13" s="34">
        <f t="shared" si="1"/>
        <v>682</v>
      </c>
      <c r="C13" s="34" t="str">
        <f t="shared" si="2"/>
        <v>02AA</v>
      </c>
      <c r="E13" s="33" t="s">
        <v>132</v>
      </c>
      <c r="F13" s="33" t="s">
        <v>552</v>
      </c>
      <c r="G13" s="33" t="s">
        <v>231</v>
      </c>
      <c r="H13" s="35" t="s">
        <v>232</v>
      </c>
    </row>
    <row r="14" spans="1:8">
      <c r="A14" s="33">
        <v>12</v>
      </c>
      <c r="B14" s="34">
        <f t="shared" si="1"/>
        <v>683</v>
      </c>
      <c r="C14" s="34" t="str">
        <f t="shared" si="2"/>
        <v>02AB</v>
      </c>
      <c r="E14" s="33" t="s">
        <v>132</v>
      </c>
      <c r="F14" s="33" t="s">
        <v>553</v>
      </c>
      <c r="G14" s="33" t="s">
        <v>231</v>
      </c>
      <c r="H14" s="35" t="s">
        <v>236</v>
      </c>
    </row>
    <row r="15" spans="1:8">
      <c r="A15" s="33">
        <v>13</v>
      </c>
      <c r="B15" s="34">
        <f t="shared" si="1"/>
        <v>684</v>
      </c>
      <c r="C15" s="34" t="str">
        <f t="shared" si="2"/>
        <v>02AC</v>
      </c>
      <c r="E15" s="33" t="s">
        <v>132</v>
      </c>
      <c r="F15" s="33" t="s">
        <v>554</v>
      </c>
      <c r="G15" s="33" t="s">
        <v>231</v>
      </c>
      <c r="H15" s="35" t="s">
        <v>234</v>
      </c>
    </row>
    <row r="16" spans="1:8">
      <c r="A16" s="33">
        <v>14</v>
      </c>
      <c r="B16" s="34">
        <f t="shared" si="1"/>
        <v>685</v>
      </c>
      <c r="C16" s="34" t="str">
        <f t="shared" si="2"/>
        <v>02AD</v>
      </c>
      <c r="E16" s="33" t="s">
        <v>132</v>
      </c>
      <c r="F16" s="33" t="s">
        <v>555</v>
      </c>
      <c r="G16" s="33" t="s">
        <v>231</v>
      </c>
      <c r="H16" s="35" t="s">
        <v>556</v>
      </c>
    </row>
    <row r="17" spans="1:8">
      <c r="A17" s="33">
        <v>15</v>
      </c>
      <c r="B17" s="34">
        <f t="shared" si="1"/>
        <v>686</v>
      </c>
      <c r="C17" s="34" t="str">
        <f t="shared" si="2"/>
        <v>02AE</v>
      </c>
      <c r="E17" s="33" t="s">
        <v>132</v>
      </c>
      <c r="F17" s="33" t="s">
        <v>557</v>
      </c>
      <c r="G17" s="33" t="s">
        <v>114</v>
      </c>
      <c r="H17" s="35" t="s">
        <v>364</v>
      </c>
    </row>
    <row r="18" spans="1:8">
      <c r="A18" s="33">
        <v>16</v>
      </c>
      <c r="B18" s="34">
        <f t="shared" si="1"/>
        <v>687</v>
      </c>
      <c r="C18" s="34" t="str">
        <f t="shared" si="2"/>
        <v>02AF</v>
      </c>
      <c r="E18" s="33" t="s">
        <v>132</v>
      </c>
      <c r="F18" s="33" t="s">
        <v>558</v>
      </c>
      <c r="G18" s="33" t="s">
        <v>114</v>
      </c>
      <c r="H18" s="35" t="s">
        <v>364</v>
      </c>
    </row>
    <row r="19" spans="1:8">
      <c r="A19" s="33">
        <v>17</v>
      </c>
      <c r="B19" s="34">
        <f t="shared" ref="B19:B66" si="3">$B$2+A19-1</f>
        <v>688</v>
      </c>
      <c r="C19" s="34" t="str">
        <f t="shared" ref="C19:C66" si="4">DEC2HEX(B19,4)</f>
        <v>02B0</v>
      </c>
      <c r="E19" s="33" t="s">
        <v>132</v>
      </c>
      <c r="F19" s="33" t="s">
        <v>559</v>
      </c>
      <c r="G19" s="33" t="s">
        <v>114</v>
      </c>
      <c r="H19" s="35" t="s">
        <v>364</v>
      </c>
    </row>
    <row r="20" spans="1:8">
      <c r="A20" s="33">
        <v>18</v>
      </c>
      <c r="B20" s="34">
        <f t="shared" si="3"/>
        <v>689</v>
      </c>
      <c r="C20" s="34" t="str">
        <f t="shared" si="4"/>
        <v>02B1</v>
      </c>
      <c r="E20" s="33" t="s">
        <v>132</v>
      </c>
      <c r="F20" s="33" t="s">
        <v>560</v>
      </c>
      <c r="G20" s="33" t="s">
        <v>114</v>
      </c>
      <c r="H20" s="35" t="s">
        <v>364</v>
      </c>
    </row>
    <row r="21" spans="1:8">
      <c r="A21" s="33">
        <v>19</v>
      </c>
      <c r="B21" s="34">
        <f t="shared" si="3"/>
        <v>690</v>
      </c>
      <c r="C21" s="34" t="str">
        <f t="shared" si="4"/>
        <v>02B2</v>
      </c>
      <c r="E21" s="33" t="s">
        <v>132</v>
      </c>
      <c r="F21" s="33" t="s">
        <v>561</v>
      </c>
      <c r="G21" s="33" t="s">
        <v>114</v>
      </c>
      <c r="H21" s="35" t="s">
        <v>364</v>
      </c>
    </row>
    <row r="22" spans="1:8">
      <c r="A22" s="33">
        <v>20</v>
      </c>
      <c r="B22" s="34">
        <f t="shared" si="3"/>
        <v>691</v>
      </c>
      <c r="C22" s="34" t="str">
        <f t="shared" si="4"/>
        <v>02B3</v>
      </c>
      <c r="E22" s="33" t="s">
        <v>132</v>
      </c>
      <c r="F22" s="33" t="s">
        <v>562</v>
      </c>
      <c r="G22" s="33" t="s">
        <v>114</v>
      </c>
      <c r="H22" s="35" t="s">
        <v>364</v>
      </c>
    </row>
    <row r="23" spans="1:8">
      <c r="A23" s="33">
        <v>21</v>
      </c>
      <c r="B23" s="34">
        <f t="shared" si="3"/>
        <v>692</v>
      </c>
      <c r="C23" s="34" t="str">
        <f t="shared" si="4"/>
        <v>02B4</v>
      </c>
      <c r="E23" s="33" t="s">
        <v>132</v>
      </c>
      <c r="F23" s="33" t="s">
        <v>563</v>
      </c>
      <c r="G23" s="33" t="s">
        <v>114</v>
      </c>
      <c r="H23" s="35" t="s">
        <v>364</v>
      </c>
    </row>
    <row r="24" spans="1:8">
      <c r="A24" s="33">
        <v>22</v>
      </c>
      <c r="B24" s="34">
        <f t="shared" si="3"/>
        <v>693</v>
      </c>
      <c r="C24" s="34" t="str">
        <f t="shared" si="4"/>
        <v>02B5</v>
      </c>
      <c r="E24" s="33" t="s">
        <v>132</v>
      </c>
      <c r="F24" s="33" t="s">
        <v>564</v>
      </c>
      <c r="G24" s="33" t="s">
        <v>114</v>
      </c>
      <c r="H24" s="35" t="s">
        <v>364</v>
      </c>
    </row>
    <row r="25" spans="1:8">
      <c r="A25" s="33">
        <v>23</v>
      </c>
      <c r="B25" s="34">
        <f t="shared" si="3"/>
        <v>694</v>
      </c>
      <c r="C25" s="34" t="str">
        <f t="shared" si="4"/>
        <v>02B6</v>
      </c>
      <c r="E25" s="33" t="s">
        <v>132</v>
      </c>
      <c r="F25" s="33" t="s">
        <v>565</v>
      </c>
      <c r="G25" s="33" t="s">
        <v>114</v>
      </c>
      <c r="H25" s="35" t="s">
        <v>364</v>
      </c>
    </row>
    <row r="26" spans="1:8">
      <c r="A26" s="33">
        <v>24</v>
      </c>
      <c r="B26" s="34">
        <f t="shared" si="3"/>
        <v>695</v>
      </c>
      <c r="C26" s="34" t="str">
        <f t="shared" si="4"/>
        <v>02B7</v>
      </c>
      <c r="E26" s="33" t="s">
        <v>132</v>
      </c>
      <c r="F26" s="33" t="s">
        <v>566</v>
      </c>
      <c r="G26" s="33" t="s">
        <v>114</v>
      </c>
      <c r="H26" s="35" t="s">
        <v>364</v>
      </c>
    </row>
    <row r="27" spans="1:8">
      <c r="A27" s="33">
        <v>25</v>
      </c>
      <c r="B27" s="34">
        <f t="shared" si="3"/>
        <v>696</v>
      </c>
      <c r="C27" s="34" t="str">
        <f t="shared" si="4"/>
        <v>02B8</v>
      </c>
      <c r="E27" s="33" t="s">
        <v>132</v>
      </c>
      <c r="F27" s="33" t="s">
        <v>567</v>
      </c>
      <c r="G27" s="33" t="s">
        <v>114</v>
      </c>
      <c r="H27" s="35" t="s">
        <v>364</v>
      </c>
    </row>
    <row r="28" spans="1:8">
      <c r="A28" s="33">
        <v>26</v>
      </c>
      <c r="B28" s="34">
        <f t="shared" si="3"/>
        <v>697</v>
      </c>
      <c r="C28" s="34" t="str">
        <f t="shared" si="4"/>
        <v>02B9</v>
      </c>
      <c r="E28" s="33" t="s">
        <v>132</v>
      </c>
      <c r="F28" s="33" t="s">
        <v>568</v>
      </c>
      <c r="G28" s="33" t="s">
        <v>114</v>
      </c>
      <c r="H28" s="35" t="s">
        <v>364</v>
      </c>
    </row>
    <row r="29" spans="1:8">
      <c r="A29" s="33">
        <v>27</v>
      </c>
      <c r="B29" s="34">
        <f t="shared" si="3"/>
        <v>698</v>
      </c>
      <c r="C29" s="34" t="str">
        <f t="shared" si="4"/>
        <v>02BA</v>
      </c>
      <c r="E29" s="33" t="s">
        <v>132</v>
      </c>
      <c r="F29" s="33" t="s">
        <v>569</v>
      </c>
      <c r="G29" s="33" t="s">
        <v>231</v>
      </c>
      <c r="H29" s="35" t="s">
        <v>232</v>
      </c>
    </row>
    <row r="30" spans="1:8">
      <c r="A30" s="33">
        <v>28</v>
      </c>
      <c r="B30" s="34">
        <f t="shared" si="3"/>
        <v>699</v>
      </c>
      <c r="C30" s="34" t="str">
        <f t="shared" si="4"/>
        <v>02BB</v>
      </c>
      <c r="E30" s="33" t="s">
        <v>132</v>
      </c>
      <c r="F30" s="33" t="s">
        <v>570</v>
      </c>
      <c r="G30" s="33" t="s">
        <v>231</v>
      </c>
      <c r="H30" s="35" t="s">
        <v>236</v>
      </c>
    </row>
    <row r="31" spans="1:8">
      <c r="A31" s="33">
        <v>29</v>
      </c>
      <c r="B31" s="34">
        <f t="shared" si="3"/>
        <v>700</v>
      </c>
      <c r="C31" s="34" t="str">
        <f t="shared" si="4"/>
        <v>02BC</v>
      </c>
      <c r="E31" s="33" t="s">
        <v>132</v>
      </c>
      <c r="F31" s="33" t="s">
        <v>571</v>
      </c>
      <c r="G31" s="33" t="s">
        <v>231</v>
      </c>
      <c r="H31" s="35" t="s">
        <v>234</v>
      </c>
    </row>
    <row r="32" spans="1:8">
      <c r="A32" s="33">
        <v>30</v>
      </c>
      <c r="B32" s="34">
        <f t="shared" si="3"/>
        <v>701</v>
      </c>
      <c r="C32" s="34" t="str">
        <f t="shared" si="4"/>
        <v>02BD</v>
      </c>
      <c r="E32" s="33" t="s">
        <v>132</v>
      </c>
      <c r="F32" s="33" t="s">
        <v>572</v>
      </c>
      <c r="G32" s="33" t="s">
        <v>231</v>
      </c>
      <c r="H32" s="35" t="s">
        <v>556</v>
      </c>
    </row>
    <row r="33" spans="1:3">
      <c r="A33" s="33">
        <v>31</v>
      </c>
      <c r="B33" s="34">
        <f t="shared" si="3"/>
        <v>702</v>
      </c>
      <c r="C33" s="34" t="str">
        <f t="shared" si="4"/>
        <v>02BE</v>
      </c>
    </row>
    <row r="34" spans="1:3">
      <c r="A34" s="33">
        <v>32</v>
      </c>
      <c r="B34" s="34">
        <f t="shared" si="3"/>
        <v>703</v>
      </c>
      <c r="C34" s="34" t="str">
        <f t="shared" si="4"/>
        <v>02BF</v>
      </c>
    </row>
    <row r="35" spans="1:8">
      <c r="A35" s="33">
        <v>33</v>
      </c>
      <c r="B35" s="34">
        <f t="shared" si="3"/>
        <v>704</v>
      </c>
      <c r="C35" s="34" t="str">
        <f t="shared" si="4"/>
        <v>02C0</v>
      </c>
      <c r="E35" s="33" t="s">
        <v>132</v>
      </c>
      <c r="F35" s="33" t="s">
        <v>573</v>
      </c>
      <c r="G35" s="33" t="s">
        <v>114</v>
      </c>
      <c r="H35" s="35" t="s">
        <v>364</v>
      </c>
    </row>
    <row r="36" spans="1:8">
      <c r="A36" s="33">
        <v>34</v>
      </c>
      <c r="B36" s="34">
        <f t="shared" si="3"/>
        <v>705</v>
      </c>
      <c r="C36" s="34" t="str">
        <f t="shared" si="4"/>
        <v>02C1</v>
      </c>
      <c r="E36" s="33" t="s">
        <v>132</v>
      </c>
      <c r="F36" s="33" t="s">
        <v>574</v>
      </c>
      <c r="G36" s="33" t="s">
        <v>114</v>
      </c>
      <c r="H36" s="35" t="s">
        <v>364</v>
      </c>
    </row>
    <row r="37" spans="1:8">
      <c r="A37" s="33">
        <v>35</v>
      </c>
      <c r="B37" s="34">
        <f t="shared" si="3"/>
        <v>706</v>
      </c>
      <c r="C37" s="34" t="str">
        <f t="shared" si="4"/>
        <v>02C2</v>
      </c>
      <c r="E37" s="33" t="s">
        <v>132</v>
      </c>
      <c r="F37" s="33" t="s">
        <v>575</v>
      </c>
      <c r="G37" s="33" t="s">
        <v>114</v>
      </c>
      <c r="H37" s="35" t="s">
        <v>364</v>
      </c>
    </row>
    <row r="38" spans="1:8">
      <c r="A38" s="33">
        <v>36</v>
      </c>
      <c r="B38" s="34">
        <f t="shared" si="3"/>
        <v>707</v>
      </c>
      <c r="C38" s="34" t="str">
        <f t="shared" si="4"/>
        <v>02C3</v>
      </c>
      <c r="E38" s="33" t="s">
        <v>132</v>
      </c>
      <c r="F38" s="33" t="s">
        <v>576</v>
      </c>
      <c r="G38" s="33" t="s">
        <v>114</v>
      </c>
      <c r="H38" s="35" t="s">
        <v>364</v>
      </c>
    </row>
    <row r="39" spans="1:8">
      <c r="A39" s="33">
        <v>37</v>
      </c>
      <c r="B39" s="34">
        <f t="shared" si="3"/>
        <v>708</v>
      </c>
      <c r="C39" s="34" t="str">
        <f t="shared" si="4"/>
        <v>02C4</v>
      </c>
      <c r="E39" s="33" t="s">
        <v>132</v>
      </c>
      <c r="F39" s="33" t="s">
        <v>577</v>
      </c>
      <c r="G39" s="33" t="s">
        <v>114</v>
      </c>
      <c r="H39" s="35" t="s">
        <v>364</v>
      </c>
    </row>
    <row r="40" spans="1:8">
      <c r="A40" s="33">
        <v>38</v>
      </c>
      <c r="B40" s="34">
        <f t="shared" si="3"/>
        <v>709</v>
      </c>
      <c r="C40" s="34" t="str">
        <f t="shared" si="4"/>
        <v>02C5</v>
      </c>
      <c r="E40" s="33" t="s">
        <v>132</v>
      </c>
      <c r="F40" s="33" t="s">
        <v>578</v>
      </c>
      <c r="G40" s="33" t="s">
        <v>114</v>
      </c>
      <c r="H40" s="35" t="s">
        <v>364</v>
      </c>
    </row>
    <row r="41" spans="1:3">
      <c r="A41" s="33">
        <v>39</v>
      </c>
      <c r="B41" s="34">
        <f t="shared" si="3"/>
        <v>710</v>
      </c>
      <c r="C41" s="34" t="str">
        <f t="shared" si="4"/>
        <v>02C6</v>
      </c>
    </row>
    <row r="42" spans="1:3">
      <c r="A42" s="33">
        <v>40</v>
      </c>
      <c r="B42" s="34">
        <f t="shared" si="3"/>
        <v>711</v>
      </c>
      <c r="C42" s="34" t="str">
        <f t="shared" si="4"/>
        <v>02C7</v>
      </c>
    </row>
    <row r="43" spans="1:3">
      <c r="A43" s="33">
        <v>41</v>
      </c>
      <c r="B43" s="34">
        <f t="shared" si="3"/>
        <v>712</v>
      </c>
      <c r="C43" s="34" t="str">
        <f t="shared" si="4"/>
        <v>02C8</v>
      </c>
    </row>
    <row r="44" spans="1:3">
      <c r="A44" s="33">
        <v>42</v>
      </c>
      <c r="B44" s="34">
        <f t="shared" si="3"/>
        <v>713</v>
      </c>
      <c r="C44" s="34" t="str">
        <f t="shared" si="4"/>
        <v>02C9</v>
      </c>
    </row>
    <row r="45" spans="1:8">
      <c r="A45" s="33">
        <v>43</v>
      </c>
      <c r="B45" s="34">
        <f t="shared" si="3"/>
        <v>714</v>
      </c>
      <c r="C45" s="34" t="str">
        <f t="shared" si="4"/>
        <v>02CA</v>
      </c>
      <c r="E45" s="33" t="s">
        <v>132</v>
      </c>
      <c r="F45" s="33" t="s">
        <v>579</v>
      </c>
      <c r="G45" s="33" t="s">
        <v>231</v>
      </c>
      <c r="H45" s="35" t="s">
        <v>232</v>
      </c>
    </row>
    <row r="46" spans="1:8">
      <c r="A46" s="33">
        <v>44</v>
      </c>
      <c r="B46" s="34">
        <f t="shared" si="3"/>
        <v>715</v>
      </c>
      <c r="C46" s="34" t="str">
        <f t="shared" si="4"/>
        <v>02CB</v>
      </c>
      <c r="E46" s="33" t="s">
        <v>132</v>
      </c>
      <c r="F46" s="33" t="s">
        <v>580</v>
      </c>
      <c r="G46" s="33" t="s">
        <v>231</v>
      </c>
      <c r="H46" s="35" t="s">
        <v>236</v>
      </c>
    </row>
    <row r="47" spans="1:8">
      <c r="A47" s="33">
        <v>45</v>
      </c>
      <c r="B47" s="34">
        <f t="shared" si="3"/>
        <v>716</v>
      </c>
      <c r="C47" s="34" t="str">
        <f t="shared" si="4"/>
        <v>02CC</v>
      </c>
      <c r="E47" s="33" t="s">
        <v>132</v>
      </c>
      <c r="F47" s="33" t="s">
        <v>581</v>
      </c>
      <c r="G47" s="33" t="s">
        <v>231</v>
      </c>
      <c r="H47" s="35" t="s">
        <v>234</v>
      </c>
    </row>
    <row r="48" spans="1:8">
      <c r="A48" s="33">
        <v>46</v>
      </c>
      <c r="B48" s="34">
        <f t="shared" si="3"/>
        <v>717</v>
      </c>
      <c r="C48" s="34" t="str">
        <f t="shared" si="4"/>
        <v>02CD</v>
      </c>
      <c r="E48" s="33" t="s">
        <v>132</v>
      </c>
      <c r="F48" s="33" t="s">
        <v>582</v>
      </c>
      <c r="G48" s="33" t="s">
        <v>231</v>
      </c>
      <c r="H48" s="35" t="s">
        <v>556</v>
      </c>
    </row>
    <row r="49" spans="1:3">
      <c r="A49" s="33">
        <v>47</v>
      </c>
      <c r="B49" s="34">
        <f t="shared" si="3"/>
        <v>718</v>
      </c>
      <c r="C49" s="34" t="str">
        <f t="shared" si="4"/>
        <v>02CE</v>
      </c>
    </row>
    <row r="50" spans="1:3">
      <c r="A50" s="33">
        <v>48</v>
      </c>
      <c r="B50" s="34">
        <f t="shared" si="3"/>
        <v>719</v>
      </c>
      <c r="C50" s="34" t="str">
        <f t="shared" si="4"/>
        <v>02CF</v>
      </c>
    </row>
    <row r="51" spans="1:8">
      <c r="A51" s="33">
        <v>49</v>
      </c>
      <c r="B51" s="34">
        <f t="shared" si="3"/>
        <v>720</v>
      </c>
      <c r="C51" s="34" t="str">
        <f t="shared" si="4"/>
        <v>02D0</v>
      </c>
      <c r="E51" s="33" t="s">
        <v>132</v>
      </c>
      <c r="F51" s="33" t="s">
        <v>583</v>
      </c>
      <c r="G51" s="33" t="s">
        <v>114</v>
      </c>
      <c r="H51" s="35" t="s">
        <v>364</v>
      </c>
    </row>
    <row r="52" spans="1:8">
      <c r="A52" s="33">
        <v>50</v>
      </c>
      <c r="B52" s="34">
        <f t="shared" si="3"/>
        <v>721</v>
      </c>
      <c r="C52" s="34" t="str">
        <f t="shared" si="4"/>
        <v>02D1</v>
      </c>
      <c r="E52" s="33" t="s">
        <v>132</v>
      </c>
      <c r="F52" s="33" t="s">
        <v>584</v>
      </c>
      <c r="G52" s="33" t="s">
        <v>114</v>
      </c>
      <c r="H52" s="35" t="s">
        <v>364</v>
      </c>
    </row>
    <row r="53" spans="1:8">
      <c r="A53" s="33">
        <v>51</v>
      </c>
      <c r="B53" s="34">
        <f t="shared" si="3"/>
        <v>722</v>
      </c>
      <c r="C53" s="34" t="str">
        <f t="shared" si="4"/>
        <v>02D2</v>
      </c>
      <c r="E53" s="33" t="s">
        <v>132</v>
      </c>
      <c r="F53" s="33" t="s">
        <v>585</v>
      </c>
      <c r="G53" s="33" t="s">
        <v>114</v>
      </c>
      <c r="H53" s="35" t="s">
        <v>364</v>
      </c>
    </row>
    <row r="54" spans="1:8">
      <c r="A54" s="33">
        <v>52</v>
      </c>
      <c r="B54" s="34">
        <f t="shared" si="3"/>
        <v>723</v>
      </c>
      <c r="C54" s="34" t="str">
        <f t="shared" si="4"/>
        <v>02D3</v>
      </c>
      <c r="E54" s="33" t="s">
        <v>132</v>
      </c>
      <c r="F54" s="33" t="s">
        <v>586</v>
      </c>
      <c r="G54" s="33" t="s">
        <v>114</v>
      </c>
      <c r="H54" s="35" t="s">
        <v>364</v>
      </c>
    </row>
    <row r="55" spans="1:8">
      <c r="A55" s="33">
        <v>53</v>
      </c>
      <c r="B55" s="34">
        <f t="shared" si="3"/>
        <v>724</v>
      </c>
      <c r="C55" s="34" t="str">
        <f t="shared" si="4"/>
        <v>02D4</v>
      </c>
      <c r="E55" s="33" t="s">
        <v>132</v>
      </c>
      <c r="F55" s="33" t="s">
        <v>587</v>
      </c>
      <c r="G55" s="33" t="s">
        <v>114</v>
      </c>
      <c r="H55" s="35" t="s">
        <v>364</v>
      </c>
    </row>
    <row r="56" spans="1:8">
      <c r="A56" s="33">
        <v>54</v>
      </c>
      <c r="B56" s="34">
        <f t="shared" si="3"/>
        <v>725</v>
      </c>
      <c r="C56" s="34" t="str">
        <f t="shared" si="4"/>
        <v>02D5</v>
      </c>
      <c r="E56" s="33" t="s">
        <v>132</v>
      </c>
      <c r="F56" s="33" t="s">
        <v>588</v>
      </c>
      <c r="G56" s="33" t="s">
        <v>114</v>
      </c>
      <c r="H56" s="35" t="s">
        <v>364</v>
      </c>
    </row>
    <row r="57" spans="1:3">
      <c r="A57" s="33">
        <v>55</v>
      </c>
      <c r="B57" s="34">
        <f t="shared" si="3"/>
        <v>726</v>
      </c>
      <c r="C57" s="34" t="str">
        <f t="shared" si="4"/>
        <v>02D6</v>
      </c>
    </row>
    <row r="58" spans="1:3">
      <c r="A58" s="33">
        <v>56</v>
      </c>
      <c r="B58" s="34">
        <f t="shared" si="3"/>
        <v>727</v>
      </c>
      <c r="C58" s="34" t="str">
        <f t="shared" si="4"/>
        <v>02D7</v>
      </c>
    </row>
    <row r="59" spans="1:3">
      <c r="A59" s="33">
        <v>57</v>
      </c>
      <c r="B59" s="34">
        <f t="shared" si="3"/>
        <v>728</v>
      </c>
      <c r="C59" s="34" t="str">
        <f t="shared" si="4"/>
        <v>02D8</v>
      </c>
    </row>
    <row r="60" spans="1:3">
      <c r="A60" s="33">
        <v>58</v>
      </c>
      <c r="B60" s="34">
        <f t="shared" si="3"/>
        <v>729</v>
      </c>
      <c r="C60" s="34" t="str">
        <f t="shared" si="4"/>
        <v>02D9</v>
      </c>
    </row>
    <row r="61" spans="1:3">
      <c r="A61" s="33">
        <v>59</v>
      </c>
      <c r="B61" s="34">
        <f t="shared" si="3"/>
        <v>730</v>
      </c>
      <c r="C61" s="34" t="str">
        <f t="shared" si="4"/>
        <v>02DA</v>
      </c>
    </row>
    <row r="62" spans="1:3">
      <c r="A62" s="33">
        <v>60</v>
      </c>
      <c r="B62" s="34">
        <f t="shared" si="3"/>
        <v>731</v>
      </c>
      <c r="C62" s="34" t="str">
        <f t="shared" si="4"/>
        <v>02DB</v>
      </c>
    </row>
    <row r="63" spans="1:3">
      <c r="A63" s="33">
        <v>61</v>
      </c>
      <c r="B63" s="34">
        <f t="shared" si="3"/>
        <v>732</v>
      </c>
      <c r="C63" s="34" t="str">
        <f t="shared" si="4"/>
        <v>02DC</v>
      </c>
    </row>
    <row r="64" spans="1:3">
      <c r="A64" s="33">
        <v>62</v>
      </c>
      <c r="B64" s="34">
        <f t="shared" si="3"/>
        <v>733</v>
      </c>
      <c r="C64" s="34" t="str">
        <f t="shared" si="4"/>
        <v>02DD</v>
      </c>
    </row>
    <row r="65" spans="1:3">
      <c r="A65" s="33">
        <v>63</v>
      </c>
      <c r="B65" s="34">
        <f t="shared" si="3"/>
        <v>734</v>
      </c>
      <c r="C65" s="34" t="str">
        <f t="shared" si="4"/>
        <v>02DE</v>
      </c>
    </row>
    <row r="66" spans="1:3">
      <c r="A66" s="33">
        <v>64</v>
      </c>
      <c r="B66" s="34">
        <f t="shared" si="3"/>
        <v>735</v>
      </c>
      <c r="C66" s="34" t="str">
        <f t="shared" si="4"/>
        <v>02DF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9"/>
  <dimension ref="A1:K22"/>
  <sheetViews>
    <sheetView zoomScale="130" zoomScaleNormal="130" workbookViewId="0">
      <selection activeCell="I67" sqref="I67"/>
    </sheetView>
  </sheetViews>
  <sheetFormatPr defaultColWidth="8.73636363636364" defaultRowHeight="14"/>
  <cols>
    <col min="1" max="1" width="5.55454545454545" customWidth="1"/>
    <col min="2" max="2" width="14" customWidth="1"/>
    <col min="3" max="3" width="5.55454545454545" customWidth="1"/>
    <col min="4" max="4" width="7.55454545454545" customWidth="1"/>
    <col min="5" max="5" width="5.55454545454545" customWidth="1"/>
    <col min="6" max="7" width="16.2636363636364" customWidth="1"/>
    <col min="8" max="8" width="5.55454545454545" customWidth="1"/>
    <col min="9" max="9" width="12.9090909090909" customWidth="1"/>
    <col min="10" max="11" width="7.55454545454545" customWidth="1"/>
  </cols>
  <sheetData>
    <row r="1" spans="1:11">
      <c r="A1" s="33" t="s">
        <v>99</v>
      </c>
      <c r="B1" s="33" t="s">
        <v>100</v>
      </c>
      <c r="C1" s="33" t="s">
        <v>101</v>
      </c>
      <c r="D1" s="33" t="s">
        <v>102</v>
      </c>
      <c r="E1" s="33" t="s">
        <v>103</v>
      </c>
      <c r="F1" s="33" t="s">
        <v>104</v>
      </c>
      <c r="G1" s="33" t="s">
        <v>105</v>
      </c>
      <c r="H1" s="33" t="s">
        <v>106</v>
      </c>
      <c r="I1" s="33" t="s">
        <v>107</v>
      </c>
      <c r="J1" s="33" t="s">
        <v>108</v>
      </c>
      <c r="K1" s="33" t="s">
        <v>109</v>
      </c>
    </row>
    <row r="2" spans="1:7">
      <c r="A2" s="33"/>
      <c r="B2" s="33">
        <f>HEX2DEC(C2)</f>
        <v>800</v>
      </c>
      <c r="C2" s="33" t="s">
        <v>589</v>
      </c>
      <c r="D2" s="33"/>
      <c r="E2" s="33"/>
      <c r="F2" s="33" t="s">
        <v>590</v>
      </c>
      <c r="G2" s="33"/>
    </row>
    <row r="3" spans="1:8">
      <c r="A3" s="33">
        <v>1</v>
      </c>
      <c r="B3" s="34">
        <f>$B$2+A3-1</f>
        <v>800</v>
      </c>
      <c r="C3" s="34" t="str">
        <f t="shared" ref="C3:C10" si="0">DEC2HEX(B3,4)</f>
        <v>0320</v>
      </c>
      <c r="D3" s="33"/>
      <c r="E3" s="33" t="s">
        <v>132</v>
      </c>
      <c r="F3" s="33" t="s">
        <v>591</v>
      </c>
      <c r="G3" s="33"/>
      <c r="H3" t="s">
        <v>299</v>
      </c>
    </row>
    <row r="4" spans="1:9">
      <c r="A4" s="33">
        <v>2</v>
      </c>
      <c r="B4" s="34">
        <f>$B$2+A4-1</f>
        <v>801</v>
      </c>
      <c r="C4" s="34" t="str">
        <f t="shared" si="0"/>
        <v>0321</v>
      </c>
      <c r="D4" s="33"/>
      <c r="E4" s="33" t="s">
        <v>132</v>
      </c>
      <c r="F4" s="33" t="s">
        <v>592</v>
      </c>
      <c r="G4" s="33"/>
      <c r="I4" t="s">
        <v>593</v>
      </c>
    </row>
    <row r="5" spans="1:7">
      <c r="A5" s="33">
        <v>3</v>
      </c>
      <c r="B5" s="34">
        <f>$B$2+A5-1</f>
        <v>802</v>
      </c>
      <c r="C5" s="34" t="str">
        <f t="shared" si="0"/>
        <v>0322</v>
      </c>
      <c r="D5" s="33"/>
      <c r="E5" s="33"/>
      <c r="F5" s="33"/>
      <c r="G5" s="33"/>
    </row>
    <row r="6" spans="1:7">
      <c r="A6" s="33">
        <v>4</v>
      </c>
      <c r="B6" s="34">
        <f>$B$2+A6-1</f>
        <v>803</v>
      </c>
      <c r="C6" s="34" t="str">
        <f t="shared" si="0"/>
        <v>0323</v>
      </c>
      <c r="D6" s="33"/>
      <c r="E6" s="33"/>
      <c r="F6" s="33"/>
      <c r="G6" s="33"/>
    </row>
    <row r="7" spans="1:7">
      <c r="A7" s="33"/>
      <c r="B7" s="34"/>
      <c r="C7" s="34"/>
      <c r="D7" s="33"/>
      <c r="E7" s="33"/>
      <c r="F7" s="33"/>
      <c r="G7" s="33"/>
    </row>
    <row r="8" spans="1:7">
      <c r="A8" s="33"/>
      <c r="B8" s="34"/>
      <c r="C8" s="34"/>
      <c r="D8" s="33"/>
      <c r="E8" s="33"/>
      <c r="F8" s="33"/>
      <c r="G8" s="33"/>
    </row>
    <row r="9" spans="1:3">
      <c r="A9" s="33"/>
      <c r="B9" s="34"/>
      <c r="C9" s="34"/>
    </row>
    <row r="10" spans="1:3">
      <c r="A10" s="33"/>
      <c r="B10" s="34"/>
      <c r="C10" s="34"/>
    </row>
    <row r="11" spans="1:3">
      <c r="A11" s="33"/>
      <c r="B11" s="34"/>
      <c r="C11" s="34"/>
    </row>
    <row r="12" spans="1:3">
      <c r="A12" s="33"/>
      <c r="B12" s="34"/>
      <c r="C12" s="34"/>
    </row>
    <row r="13" spans="1:3">
      <c r="A13" s="33"/>
      <c r="B13" s="34"/>
      <c r="C13" s="34"/>
    </row>
    <row r="14" spans="1:3">
      <c r="A14" s="33"/>
      <c r="B14" s="34"/>
      <c r="C14" s="34"/>
    </row>
    <row r="15" spans="1:3">
      <c r="A15" s="33"/>
      <c r="B15" s="34"/>
      <c r="C15" s="34"/>
    </row>
    <row r="16" spans="1:3">
      <c r="A16" s="33"/>
      <c r="B16" s="34"/>
      <c r="C16" s="34"/>
    </row>
    <row r="17" spans="1:3">
      <c r="A17" s="33"/>
      <c r="B17" s="34"/>
      <c r="C17" s="34"/>
    </row>
    <row r="18" spans="1:3">
      <c r="A18" s="33"/>
      <c r="B18" s="34"/>
      <c r="C18" s="34"/>
    </row>
    <row r="19" spans="1:3">
      <c r="A19" s="33"/>
      <c r="B19" s="34"/>
      <c r="C19" s="34"/>
    </row>
    <row r="20" spans="1:3">
      <c r="A20" s="33"/>
      <c r="B20" s="34"/>
      <c r="C20" s="34"/>
    </row>
    <row r="21" spans="1:3">
      <c r="A21" s="33"/>
      <c r="B21" s="34"/>
      <c r="C21" s="34"/>
    </row>
    <row r="22" spans="1:3">
      <c r="A22" s="33"/>
      <c r="B22" s="34"/>
      <c r="C22" s="34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workbookViewId="0">
      <selection activeCell="F11" sqref="F11"/>
    </sheetView>
  </sheetViews>
  <sheetFormatPr defaultColWidth="8.73636363636364" defaultRowHeight="14"/>
  <cols>
    <col min="1" max="1" width="5.55454545454545" customWidth="1"/>
    <col min="2" max="2" width="14" customWidth="1"/>
    <col min="3" max="3" width="5.55454545454545" customWidth="1"/>
    <col min="4" max="4" width="7.55454545454545" customWidth="1"/>
    <col min="5" max="5" width="5.55454545454545" customWidth="1"/>
    <col min="6" max="7" width="16.2636363636364" customWidth="1"/>
    <col min="8" max="9" width="5.55454545454545" customWidth="1"/>
    <col min="10" max="11" width="7.55454545454545" customWidth="1"/>
  </cols>
  <sheetData>
    <row r="1" spans="1:11">
      <c r="A1" s="33" t="s">
        <v>99</v>
      </c>
      <c r="B1" s="33" t="s">
        <v>100</v>
      </c>
      <c r="C1" s="33" t="s">
        <v>101</v>
      </c>
      <c r="D1" s="33" t="s">
        <v>102</v>
      </c>
      <c r="E1" s="33" t="s">
        <v>103</v>
      </c>
      <c r="F1" s="33" t="s">
        <v>104</v>
      </c>
      <c r="G1" s="33" t="s">
        <v>105</v>
      </c>
      <c r="H1" s="33" t="s">
        <v>106</v>
      </c>
      <c r="I1" s="33" t="s">
        <v>107</v>
      </c>
      <c r="J1" s="33" t="s">
        <v>108</v>
      </c>
      <c r="K1" s="33" t="s">
        <v>109</v>
      </c>
    </row>
    <row r="2" spans="1:7">
      <c r="A2" s="33"/>
      <c r="B2" s="33">
        <f>HEX2DEC(C2)</f>
        <v>816</v>
      </c>
      <c r="C2" s="33" t="s">
        <v>594</v>
      </c>
      <c r="D2" s="33"/>
      <c r="E2" s="33"/>
      <c r="F2" s="33" t="s">
        <v>595</v>
      </c>
      <c r="G2" s="33"/>
    </row>
    <row r="3" spans="1:8">
      <c r="A3" s="33">
        <v>1</v>
      </c>
      <c r="B3" s="34">
        <f>$B$2+A3-1</f>
        <v>816</v>
      </c>
      <c r="C3" s="34" t="str">
        <f t="shared" ref="C3:C10" si="0">DEC2HEX(B3,4)</f>
        <v>0330</v>
      </c>
      <c r="D3" s="33"/>
      <c r="E3" s="33" t="s">
        <v>132</v>
      </c>
      <c r="F3" s="1" t="s">
        <v>596</v>
      </c>
      <c r="G3" s="33"/>
      <c r="H3" t="s">
        <v>302</v>
      </c>
    </row>
    <row r="4" spans="1:8">
      <c r="A4" s="33">
        <v>2</v>
      </c>
      <c r="B4" s="34">
        <f>$B$2+A4-1</f>
        <v>817</v>
      </c>
      <c r="C4" s="34" t="str">
        <f t="shared" si="0"/>
        <v>0331</v>
      </c>
      <c r="D4" s="33"/>
      <c r="E4" s="33" t="s">
        <v>132</v>
      </c>
      <c r="F4" s="1" t="s">
        <v>597</v>
      </c>
      <c r="G4" s="33"/>
      <c r="H4" t="s">
        <v>302</v>
      </c>
    </row>
    <row r="5" spans="1:8">
      <c r="A5" s="33">
        <v>3</v>
      </c>
      <c r="B5" s="34">
        <f>$B$2+A5-1</f>
        <v>818</v>
      </c>
      <c r="C5" s="34" t="str">
        <f t="shared" si="0"/>
        <v>0332</v>
      </c>
      <c r="D5" s="33"/>
      <c r="E5" s="33" t="s">
        <v>132</v>
      </c>
      <c r="F5" s="1" t="s">
        <v>598</v>
      </c>
      <c r="G5" s="33"/>
      <c r="H5" t="s">
        <v>302</v>
      </c>
    </row>
    <row r="6" spans="1:8">
      <c r="A6" s="33">
        <v>4</v>
      </c>
      <c r="B6" s="34">
        <f>$B$2+A6-1</f>
        <v>819</v>
      </c>
      <c r="C6" s="34" t="str">
        <f t="shared" si="0"/>
        <v>0333</v>
      </c>
      <c r="D6" s="33"/>
      <c r="E6" s="33" t="s">
        <v>132</v>
      </c>
      <c r="F6" s="1" t="s">
        <v>599</v>
      </c>
      <c r="G6" s="33"/>
      <c r="H6" t="s">
        <v>302</v>
      </c>
    </row>
    <row r="7" spans="1:8">
      <c r="A7" s="33">
        <v>5</v>
      </c>
      <c r="B7" s="34">
        <f>$B$2+A7-1</f>
        <v>820</v>
      </c>
      <c r="C7" s="34" t="str">
        <f t="shared" si="0"/>
        <v>0334</v>
      </c>
      <c r="D7" s="33"/>
      <c r="E7" s="33" t="s">
        <v>132</v>
      </c>
      <c r="F7" s="1" t="s">
        <v>600</v>
      </c>
      <c r="G7" s="33"/>
      <c r="H7" t="s">
        <v>302</v>
      </c>
    </row>
    <row r="8" spans="1:8">
      <c r="A8" s="33">
        <v>6</v>
      </c>
      <c r="B8" s="34">
        <f>$B$2+A8-1</f>
        <v>821</v>
      </c>
      <c r="C8" s="34" t="str">
        <f t="shared" si="0"/>
        <v>0335</v>
      </c>
      <c r="D8" s="33"/>
      <c r="E8" s="33" t="s">
        <v>132</v>
      </c>
      <c r="F8" s="33" t="s">
        <v>601</v>
      </c>
      <c r="G8" s="33"/>
      <c r="H8" t="s">
        <v>302</v>
      </c>
    </row>
    <row r="9" spans="1:3">
      <c r="A9" s="33">
        <v>7</v>
      </c>
      <c r="B9" s="34">
        <f>$B$2+A9-1</f>
        <v>822</v>
      </c>
      <c r="C9" s="34" t="str">
        <f t="shared" si="0"/>
        <v>0336</v>
      </c>
    </row>
    <row r="10" spans="1:3">
      <c r="A10" s="33">
        <v>8</v>
      </c>
      <c r="B10" s="34">
        <f>$B$2+A10-1</f>
        <v>823</v>
      </c>
      <c r="C10" s="34" t="str">
        <f t="shared" si="0"/>
        <v>0337</v>
      </c>
    </row>
    <row r="11" spans="1:3">
      <c r="A11" s="33">
        <v>9</v>
      </c>
      <c r="B11" s="34">
        <f t="shared" ref="B11:B18" si="1">$B$2+A11-1</f>
        <v>824</v>
      </c>
      <c r="C11" s="34" t="str">
        <f t="shared" ref="C11:C18" si="2">DEC2HEX(B11,4)</f>
        <v>0338</v>
      </c>
    </row>
    <row r="12" spans="1:3">
      <c r="A12" s="33">
        <v>10</v>
      </c>
      <c r="B12" s="34">
        <f t="shared" si="1"/>
        <v>825</v>
      </c>
      <c r="C12" s="34" t="str">
        <f t="shared" si="2"/>
        <v>0339</v>
      </c>
    </row>
    <row r="13" spans="1:3">
      <c r="A13" s="33">
        <v>11</v>
      </c>
      <c r="B13" s="34">
        <f t="shared" si="1"/>
        <v>826</v>
      </c>
      <c r="C13" s="34" t="str">
        <f t="shared" si="2"/>
        <v>033A</v>
      </c>
    </row>
    <row r="14" spans="1:3">
      <c r="A14" s="33">
        <v>12</v>
      </c>
      <c r="B14" s="34">
        <f t="shared" si="1"/>
        <v>827</v>
      </c>
      <c r="C14" s="34" t="str">
        <f t="shared" si="2"/>
        <v>033B</v>
      </c>
    </row>
    <row r="15" spans="1:3">
      <c r="A15" s="33">
        <v>13</v>
      </c>
      <c r="B15" s="34">
        <f t="shared" si="1"/>
        <v>828</v>
      </c>
      <c r="C15" s="34" t="str">
        <f t="shared" si="2"/>
        <v>033C</v>
      </c>
    </row>
    <row r="16" spans="1:3">
      <c r="A16" s="33">
        <v>14</v>
      </c>
      <c r="B16" s="34">
        <f t="shared" si="1"/>
        <v>829</v>
      </c>
      <c r="C16" s="34" t="str">
        <f t="shared" si="2"/>
        <v>033D</v>
      </c>
    </row>
    <row r="17" spans="1:3">
      <c r="A17" s="33">
        <v>15</v>
      </c>
      <c r="B17" s="34">
        <f t="shared" si="1"/>
        <v>830</v>
      </c>
      <c r="C17" s="34" t="str">
        <f t="shared" si="2"/>
        <v>033E</v>
      </c>
    </row>
    <row r="18" spans="1:3">
      <c r="A18" s="33">
        <v>16</v>
      </c>
      <c r="B18" s="34">
        <f t="shared" si="1"/>
        <v>831</v>
      </c>
      <c r="C18" s="34" t="str">
        <f t="shared" si="2"/>
        <v>033F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workbookViewId="0">
      <selection activeCell="G24" sqref="G24"/>
    </sheetView>
  </sheetViews>
  <sheetFormatPr defaultColWidth="8.73636363636364" defaultRowHeight="14"/>
  <cols>
    <col min="1" max="1" width="5.55454545454545" customWidth="1"/>
    <col min="2" max="2" width="14" customWidth="1"/>
    <col min="3" max="3" width="5.55454545454545" customWidth="1"/>
    <col min="4" max="4" width="7.55454545454545" customWidth="1"/>
    <col min="5" max="5" width="5.55454545454545" customWidth="1"/>
    <col min="6" max="7" width="28.6454545454545" customWidth="1"/>
    <col min="8" max="8" width="43.5454545454545" customWidth="1"/>
    <col min="9" max="9" width="5.55454545454545" customWidth="1"/>
    <col min="10" max="11" width="7.55454545454545" customWidth="1"/>
  </cols>
  <sheetData>
    <row r="1" spans="1:11">
      <c r="A1" s="33" t="s">
        <v>99</v>
      </c>
      <c r="B1" s="33" t="s">
        <v>100</v>
      </c>
      <c r="C1" s="33" t="s">
        <v>101</v>
      </c>
      <c r="D1" s="33" t="s">
        <v>102</v>
      </c>
      <c r="E1" s="33" t="s">
        <v>103</v>
      </c>
      <c r="F1" s="33" t="s">
        <v>104</v>
      </c>
      <c r="G1" s="33" t="s">
        <v>105</v>
      </c>
      <c r="H1" s="33" t="s">
        <v>106</v>
      </c>
      <c r="I1" s="33" t="s">
        <v>107</v>
      </c>
      <c r="J1" s="33" t="s">
        <v>108</v>
      </c>
      <c r="K1" s="33" t="s">
        <v>109</v>
      </c>
    </row>
    <row r="2" spans="1:7">
      <c r="A2" s="33"/>
      <c r="B2" s="33">
        <f>HEX2DEC(C2)</f>
        <v>848</v>
      </c>
      <c r="C2" s="33" t="s">
        <v>602</v>
      </c>
      <c r="D2" s="33"/>
      <c r="E2" s="33"/>
      <c r="F2" s="33" t="s">
        <v>603</v>
      </c>
      <c r="G2" s="33"/>
    </row>
    <row r="3" ht="126" spans="1:8">
      <c r="A3" s="33">
        <v>1</v>
      </c>
      <c r="B3" s="34">
        <f>$B$2+A3-1</f>
        <v>848</v>
      </c>
      <c r="C3" s="34" t="str">
        <f t="shared" ref="C3:C10" si="0">DEC2HEX(B3,4)</f>
        <v>0350</v>
      </c>
      <c r="D3" s="33"/>
      <c r="E3" s="33" t="s">
        <v>132</v>
      </c>
      <c r="F3" s="61" t="s">
        <v>604</v>
      </c>
      <c r="G3" s="61"/>
      <c r="H3" s="31" t="s">
        <v>605</v>
      </c>
    </row>
    <row r="4" ht="224" spans="1:8">
      <c r="A4" s="33">
        <v>2</v>
      </c>
      <c r="B4" s="34">
        <f>$B$2+A4-1</f>
        <v>849</v>
      </c>
      <c r="C4" s="34" t="str">
        <f t="shared" si="0"/>
        <v>0351</v>
      </c>
      <c r="D4" s="33"/>
      <c r="E4" s="33" t="s">
        <v>132</v>
      </c>
      <c r="F4" s="61" t="s">
        <v>606</v>
      </c>
      <c r="G4" s="61"/>
      <c r="H4" s="31" t="s">
        <v>607</v>
      </c>
    </row>
    <row r="5" spans="1:8">
      <c r="A5" s="33">
        <v>3</v>
      </c>
      <c r="B5" s="34">
        <f>$B$2+A5-1</f>
        <v>850</v>
      </c>
      <c r="C5" s="34" t="str">
        <f t="shared" si="0"/>
        <v>0352</v>
      </c>
      <c r="D5" s="33"/>
      <c r="E5" s="33" t="s">
        <v>132</v>
      </c>
      <c r="F5" s="61" t="s">
        <v>608</v>
      </c>
      <c r="G5" s="61"/>
      <c r="H5" t="s">
        <v>609</v>
      </c>
    </row>
    <row r="6" spans="1:8">
      <c r="A6" s="33">
        <v>4</v>
      </c>
      <c r="B6" s="34">
        <f>$B$2+A6-1</f>
        <v>851</v>
      </c>
      <c r="C6" s="34" t="str">
        <f t="shared" si="0"/>
        <v>0353</v>
      </c>
      <c r="D6" s="33"/>
      <c r="E6" s="33" t="s">
        <v>132</v>
      </c>
      <c r="F6" s="61" t="s">
        <v>610</v>
      </c>
      <c r="G6" s="61"/>
      <c r="H6" t="s">
        <v>609</v>
      </c>
    </row>
    <row r="7" spans="1:8">
      <c r="A7" s="33">
        <v>5</v>
      </c>
      <c r="B7" s="34">
        <f>$B$2+A7-1</f>
        <v>852</v>
      </c>
      <c r="C7" s="34" t="str">
        <f t="shared" si="0"/>
        <v>0354</v>
      </c>
      <c r="D7" s="33"/>
      <c r="E7" s="33" t="s">
        <v>132</v>
      </c>
      <c r="F7" s="61" t="s">
        <v>611</v>
      </c>
      <c r="G7" s="61"/>
      <c r="H7" t="s">
        <v>609</v>
      </c>
    </row>
    <row r="8" spans="1:8">
      <c r="A8" s="33">
        <v>6</v>
      </c>
      <c r="B8" s="34">
        <f>$B$2+A8-1</f>
        <v>853</v>
      </c>
      <c r="C8" s="34" t="str">
        <f t="shared" si="0"/>
        <v>0355</v>
      </c>
      <c r="D8" s="33"/>
      <c r="E8" s="33" t="s">
        <v>132</v>
      </c>
      <c r="F8" s="61" t="s">
        <v>612</v>
      </c>
      <c r="G8" s="61"/>
      <c r="H8" t="s">
        <v>609</v>
      </c>
    </row>
    <row r="9" spans="1:8">
      <c r="A9" s="33">
        <v>7</v>
      </c>
      <c r="B9" s="34">
        <f>$B$2+A9-1</f>
        <v>854</v>
      </c>
      <c r="C9" s="34" t="str">
        <f t="shared" si="0"/>
        <v>0356</v>
      </c>
      <c r="E9" s="33" t="s">
        <v>132</v>
      </c>
      <c r="F9" s="61" t="s">
        <v>613</v>
      </c>
      <c r="G9" s="61"/>
      <c r="H9" t="s">
        <v>609</v>
      </c>
    </row>
    <row r="10" spans="1:8">
      <c r="A10" s="33">
        <v>8</v>
      </c>
      <c r="B10" s="34">
        <f>$B$2+A10-1</f>
        <v>855</v>
      </c>
      <c r="C10" s="34" t="str">
        <f t="shared" si="0"/>
        <v>0357</v>
      </c>
      <c r="E10" s="33" t="s">
        <v>132</v>
      </c>
      <c r="F10" s="61" t="s">
        <v>614</v>
      </c>
      <c r="G10" s="61"/>
      <c r="H10" t="s">
        <v>609</v>
      </c>
    </row>
    <row r="11" spans="1:5">
      <c r="A11" s="33">
        <v>9</v>
      </c>
      <c r="B11" s="34">
        <f t="shared" ref="B11:B18" si="1">$B$2+A11-1</f>
        <v>856</v>
      </c>
      <c r="C11" s="34" t="str">
        <f t="shared" ref="C11:C18" si="2">DEC2HEX(B11,4)</f>
        <v>0358</v>
      </c>
      <c r="E11" s="33"/>
    </row>
    <row r="12" spans="1:3">
      <c r="A12" s="33">
        <v>10</v>
      </c>
      <c r="B12" s="34">
        <f t="shared" si="1"/>
        <v>857</v>
      </c>
      <c r="C12" s="34" t="str">
        <f t="shared" si="2"/>
        <v>0359</v>
      </c>
    </row>
    <row r="13" spans="1:8">
      <c r="A13" s="33">
        <v>11</v>
      </c>
      <c r="B13" s="34">
        <f t="shared" si="1"/>
        <v>858</v>
      </c>
      <c r="C13" s="34" t="str">
        <f t="shared" si="2"/>
        <v>035A</v>
      </c>
      <c r="E13" s="5"/>
      <c r="F13" s="5"/>
      <c r="G13" s="5"/>
      <c r="H13" s="31"/>
    </row>
    <row r="14" spans="1:3">
      <c r="A14" s="33">
        <v>12</v>
      </c>
      <c r="B14" s="34">
        <f t="shared" si="1"/>
        <v>859</v>
      </c>
      <c r="C14" s="34" t="str">
        <f t="shared" si="2"/>
        <v>035B</v>
      </c>
    </row>
    <row r="15" spans="1:3">
      <c r="A15" s="33">
        <v>13</v>
      </c>
      <c r="B15" s="34">
        <f t="shared" si="1"/>
        <v>860</v>
      </c>
      <c r="C15" s="34" t="str">
        <f t="shared" si="2"/>
        <v>035C</v>
      </c>
    </row>
    <row r="16" spans="1:3">
      <c r="A16" s="33">
        <v>14</v>
      </c>
      <c r="B16" s="34">
        <f t="shared" si="1"/>
        <v>861</v>
      </c>
      <c r="C16" s="34" t="str">
        <f t="shared" si="2"/>
        <v>035D</v>
      </c>
    </row>
    <row r="17" spans="1:3">
      <c r="A17" s="33">
        <v>15</v>
      </c>
      <c r="B17" s="34">
        <f t="shared" si="1"/>
        <v>862</v>
      </c>
      <c r="C17" s="34" t="str">
        <f t="shared" si="2"/>
        <v>035E</v>
      </c>
    </row>
    <row r="18" spans="1:3">
      <c r="A18" s="33">
        <v>16</v>
      </c>
      <c r="B18" s="34">
        <f t="shared" si="1"/>
        <v>863</v>
      </c>
      <c r="C18" s="34" t="str">
        <f t="shared" si="2"/>
        <v>035F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8"/>
  <sheetViews>
    <sheetView workbookViewId="0">
      <selection activeCell="I67" sqref="I67"/>
    </sheetView>
  </sheetViews>
  <sheetFormatPr defaultColWidth="8.73636363636364" defaultRowHeight="14"/>
  <cols>
    <col min="1" max="1" width="5.55454545454545" customWidth="1"/>
    <col min="2" max="2" width="14" customWidth="1"/>
    <col min="3" max="3" width="5.55454545454545" customWidth="1"/>
    <col min="4" max="4" width="7.55454545454545" customWidth="1"/>
    <col min="5" max="5" width="5.55454545454545" customWidth="1"/>
    <col min="6" max="7" width="16.2636363636364" customWidth="1"/>
    <col min="8" max="9" width="5.55454545454545" customWidth="1"/>
    <col min="10" max="11" width="7.55454545454545" customWidth="1"/>
  </cols>
  <sheetData>
    <row r="1" spans="1:11">
      <c r="A1" s="33" t="s">
        <v>99</v>
      </c>
      <c r="B1" s="33" t="s">
        <v>100</v>
      </c>
      <c r="C1" s="33" t="s">
        <v>101</v>
      </c>
      <c r="D1" s="33" t="s">
        <v>102</v>
      </c>
      <c r="E1" s="33" t="s">
        <v>103</v>
      </c>
      <c r="F1" s="33" t="s">
        <v>104</v>
      </c>
      <c r="G1" s="33" t="s">
        <v>105</v>
      </c>
      <c r="H1" s="33" t="s">
        <v>106</v>
      </c>
      <c r="I1" s="33" t="s">
        <v>107</v>
      </c>
      <c r="J1" s="33" t="s">
        <v>108</v>
      </c>
      <c r="K1" s="33" t="s">
        <v>109</v>
      </c>
    </row>
    <row r="2" spans="1:7">
      <c r="A2" s="33"/>
      <c r="B2" s="33">
        <f>HEX2DEC(C2)</f>
        <v>864</v>
      </c>
      <c r="C2" s="33" t="s">
        <v>615</v>
      </c>
      <c r="D2" s="33"/>
      <c r="E2" s="33"/>
      <c r="F2" s="33" t="s">
        <v>616</v>
      </c>
      <c r="G2" s="33"/>
    </row>
    <row r="3" spans="1:7">
      <c r="A3" s="33">
        <v>1</v>
      </c>
      <c r="B3" s="34">
        <f>$B$2+A3-1</f>
        <v>864</v>
      </c>
      <c r="C3" s="34" t="str">
        <f t="shared" ref="C3:C10" si="0">DEC2HEX(B3,4)</f>
        <v>0360</v>
      </c>
      <c r="D3" s="33"/>
      <c r="E3" s="33" t="s">
        <v>132</v>
      </c>
      <c r="F3" s="34" t="s">
        <v>617</v>
      </c>
      <c r="G3" s="34"/>
    </row>
    <row r="4" spans="1:7">
      <c r="A4" s="33">
        <v>2</v>
      </c>
      <c r="B4" s="34">
        <f>$B$2+A4-1</f>
        <v>865</v>
      </c>
      <c r="C4" s="34" t="str">
        <f t="shared" si="0"/>
        <v>0361</v>
      </c>
      <c r="D4" s="33"/>
      <c r="E4" s="33" t="s">
        <v>132</v>
      </c>
      <c r="F4" s="33" t="s">
        <v>618</v>
      </c>
      <c r="G4" s="33"/>
    </row>
    <row r="5" spans="1:7">
      <c r="A5" s="33">
        <v>3</v>
      </c>
      <c r="B5" s="34">
        <f>$B$2+A5-1</f>
        <v>866</v>
      </c>
      <c r="C5" s="34" t="str">
        <f t="shared" si="0"/>
        <v>0362</v>
      </c>
      <c r="D5" s="33"/>
      <c r="E5" s="33" t="s">
        <v>132</v>
      </c>
      <c r="F5" s="33" t="s">
        <v>619</v>
      </c>
      <c r="G5" s="33"/>
    </row>
    <row r="6" spans="1:7">
      <c r="A6" s="33">
        <v>4</v>
      </c>
      <c r="B6" s="34">
        <f>$B$2+A6-1</f>
        <v>867</v>
      </c>
      <c r="C6" s="34" t="str">
        <f t="shared" si="0"/>
        <v>0363</v>
      </c>
      <c r="D6" s="33"/>
      <c r="E6" s="33" t="s">
        <v>132</v>
      </c>
      <c r="F6" s="33" t="s">
        <v>620</v>
      </c>
      <c r="G6" s="33"/>
    </row>
    <row r="7" spans="1:7">
      <c r="A7" s="33">
        <v>5</v>
      </c>
      <c r="B7" s="34">
        <f>$B$2+A7-1</f>
        <v>868</v>
      </c>
      <c r="C7" s="34" t="str">
        <f t="shared" si="0"/>
        <v>0364</v>
      </c>
      <c r="D7" s="33"/>
      <c r="E7" s="33" t="s">
        <v>132</v>
      </c>
      <c r="F7" s="33" t="s">
        <v>621</v>
      </c>
      <c r="G7" s="33"/>
    </row>
    <row r="8" spans="1:7">
      <c r="A8" s="33">
        <v>6</v>
      </c>
      <c r="B8" s="34">
        <f>$B$2+A8-1</f>
        <v>869</v>
      </c>
      <c r="C8" s="34" t="str">
        <f t="shared" si="0"/>
        <v>0365</v>
      </c>
      <c r="D8" s="33"/>
      <c r="E8" s="33" t="s">
        <v>132</v>
      </c>
      <c r="F8" s="33" t="s">
        <v>622</v>
      </c>
      <c r="G8" s="33"/>
    </row>
    <row r="9" spans="1:3">
      <c r="A9" s="33">
        <v>7</v>
      </c>
      <c r="B9" s="34">
        <f>$B$2+A9-1</f>
        <v>870</v>
      </c>
      <c r="C9" s="34" t="str">
        <f t="shared" si="0"/>
        <v>0366</v>
      </c>
    </row>
    <row r="10" spans="1:3">
      <c r="A10" s="33">
        <v>8</v>
      </c>
      <c r="B10" s="34">
        <f>$B$2+A10-1</f>
        <v>871</v>
      </c>
      <c r="C10" s="34" t="str">
        <f t="shared" si="0"/>
        <v>0367</v>
      </c>
    </row>
    <row r="11" spans="1:3">
      <c r="A11" s="33"/>
      <c r="B11" s="34"/>
      <c r="C11" s="34"/>
    </row>
    <row r="12" spans="1:3">
      <c r="A12" s="33"/>
      <c r="B12" s="34"/>
      <c r="C12" s="34"/>
    </row>
    <row r="13" spans="1:3">
      <c r="A13" s="33"/>
      <c r="B13" s="34"/>
      <c r="C13" s="34"/>
    </row>
    <row r="14" spans="1:3">
      <c r="A14" s="33"/>
      <c r="B14" s="34"/>
      <c r="C14" s="34"/>
    </row>
    <row r="15" spans="1:3">
      <c r="A15" s="33"/>
      <c r="B15" s="34"/>
      <c r="C15" s="34"/>
    </row>
    <row r="16" spans="1:3">
      <c r="A16" s="33"/>
      <c r="B16" s="34"/>
      <c r="C16" s="34"/>
    </row>
    <row r="17" spans="1:3">
      <c r="A17" s="33"/>
      <c r="B17" s="34"/>
      <c r="C17" s="34"/>
    </row>
    <row r="18" spans="1:3">
      <c r="A18" s="33"/>
      <c r="B18" s="34"/>
      <c r="C18" s="34"/>
    </row>
    <row r="19" spans="1:6">
      <c r="A19" s="33"/>
      <c r="B19" s="34"/>
      <c r="C19" s="34"/>
      <c r="F19" s="34"/>
    </row>
    <row r="20" spans="1:6">
      <c r="A20" s="33"/>
      <c r="B20" s="34"/>
      <c r="C20" s="34"/>
      <c r="F20" s="33"/>
    </row>
    <row r="21" spans="1:6">
      <c r="A21" s="33"/>
      <c r="B21" s="34"/>
      <c r="C21" s="34"/>
      <c r="F21" s="33"/>
    </row>
    <row r="22" spans="1:6">
      <c r="A22" s="33"/>
      <c r="B22" s="34"/>
      <c r="C22" s="34"/>
      <c r="F22" s="33"/>
    </row>
    <row r="23" spans="1:6">
      <c r="A23" s="33"/>
      <c r="B23" s="34"/>
      <c r="C23" s="34"/>
      <c r="F23" s="33"/>
    </row>
    <row r="24" spans="1:6">
      <c r="A24" s="33"/>
      <c r="B24" s="34"/>
      <c r="C24" s="34"/>
      <c r="F24" s="33"/>
    </row>
    <row r="25" spans="1:6">
      <c r="A25" s="33"/>
      <c r="B25" s="34"/>
      <c r="C25" s="34"/>
      <c r="F25" s="34"/>
    </row>
    <row r="26" spans="1:7">
      <c r="A26" s="33"/>
      <c r="B26" s="34"/>
      <c r="C26" s="34"/>
      <c r="F26" s="34"/>
      <c r="G26" s="40"/>
    </row>
    <row r="27" spans="1:6">
      <c r="A27" s="33"/>
      <c r="B27" s="34"/>
      <c r="C27" s="34"/>
      <c r="F27" s="34"/>
    </row>
    <row r="28" spans="1:6">
      <c r="A28" s="33"/>
      <c r="B28" s="34"/>
      <c r="C28" s="34"/>
      <c r="F28" s="33"/>
    </row>
    <row r="29" spans="1:6">
      <c r="A29" s="33"/>
      <c r="B29" s="34"/>
      <c r="C29" s="34"/>
      <c r="F29" s="33"/>
    </row>
    <row r="30" spans="1:6">
      <c r="A30" s="33"/>
      <c r="B30" s="34"/>
      <c r="C30" s="34"/>
      <c r="F30" s="33"/>
    </row>
    <row r="31" spans="1:6">
      <c r="A31" s="33"/>
      <c r="B31" s="34"/>
      <c r="C31" s="34"/>
      <c r="F31" s="33"/>
    </row>
    <row r="32" spans="1:6">
      <c r="A32" s="33"/>
      <c r="B32" s="34"/>
      <c r="C32" s="34"/>
      <c r="F32" s="33"/>
    </row>
    <row r="33" spans="1:6">
      <c r="A33" s="33"/>
      <c r="B33" s="34"/>
      <c r="C33" s="34"/>
      <c r="F33" s="34"/>
    </row>
    <row r="34" spans="1:7">
      <c r="A34" s="33"/>
      <c r="B34" s="34"/>
      <c r="C34" s="34"/>
      <c r="F34" s="34"/>
      <c r="G34" s="40"/>
    </row>
    <row r="35" spans="1:6">
      <c r="A35" s="33"/>
      <c r="B35" s="34"/>
      <c r="C35" s="34"/>
      <c r="F35" s="34"/>
    </row>
    <row r="36" spans="1:6">
      <c r="A36" s="33"/>
      <c r="B36" s="34"/>
      <c r="C36" s="34"/>
      <c r="F36" s="33"/>
    </row>
    <row r="37" spans="1:6">
      <c r="A37" s="33"/>
      <c r="B37" s="34"/>
      <c r="C37" s="34"/>
      <c r="F37" s="33"/>
    </row>
    <row r="38" spans="1:6">
      <c r="A38" s="33"/>
      <c r="B38" s="34"/>
      <c r="C38" s="34"/>
      <c r="F38" s="33"/>
    </row>
    <row r="39" spans="1:6">
      <c r="A39" s="33"/>
      <c r="B39" s="34"/>
      <c r="C39" s="34"/>
      <c r="F39" s="33"/>
    </row>
    <row r="40" spans="1:6">
      <c r="A40" s="33"/>
      <c r="B40" s="34"/>
      <c r="C40" s="34"/>
      <c r="F40" s="33"/>
    </row>
    <row r="41" spans="1:6">
      <c r="A41" s="33"/>
      <c r="B41" s="34"/>
      <c r="C41" s="34"/>
      <c r="F41" s="34"/>
    </row>
    <row r="42" spans="1:7">
      <c r="A42" s="33"/>
      <c r="B42" s="34"/>
      <c r="C42" s="34"/>
      <c r="F42" s="34"/>
      <c r="G42" s="40"/>
    </row>
    <row r="43" spans="1:6">
      <c r="A43" s="33"/>
      <c r="B43" s="34"/>
      <c r="C43" s="34"/>
      <c r="F43" s="34"/>
    </row>
    <row r="44" spans="1:6">
      <c r="A44" s="33"/>
      <c r="B44" s="34"/>
      <c r="C44" s="34"/>
      <c r="F44" s="33"/>
    </row>
    <row r="45" spans="1:6">
      <c r="A45" s="33"/>
      <c r="B45" s="34"/>
      <c r="C45" s="34"/>
      <c r="F45" s="33"/>
    </row>
    <row r="46" spans="1:6">
      <c r="A46" s="33"/>
      <c r="B46" s="34"/>
      <c r="C46" s="34"/>
      <c r="F46" s="33"/>
    </row>
    <row r="47" spans="1:6">
      <c r="A47" s="33"/>
      <c r="B47" s="34"/>
      <c r="C47" s="34"/>
      <c r="F47" s="33"/>
    </row>
    <row r="48" spans="1:6">
      <c r="A48" s="33"/>
      <c r="B48" s="34"/>
      <c r="C48" s="34"/>
      <c r="F48" s="33"/>
    </row>
    <row r="49" spans="1:6">
      <c r="A49" s="33"/>
      <c r="B49" s="34"/>
      <c r="C49" s="34"/>
      <c r="F49" s="34"/>
    </row>
    <row r="50" spans="1:7">
      <c r="A50" s="33"/>
      <c r="B50" s="34"/>
      <c r="C50" s="34"/>
      <c r="F50" s="34"/>
      <c r="G50" s="40"/>
    </row>
    <row r="51" spans="1:6">
      <c r="A51" s="33"/>
      <c r="B51" s="34"/>
      <c r="C51" s="34"/>
      <c r="F51" s="34"/>
    </row>
    <row r="52" spans="1:6">
      <c r="A52" s="33"/>
      <c r="B52" s="34"/>
      <c r="C52" s="34"/>
      <c r="F52" s="33"/>
    </row>
    <row r="53" spans="1:6">
      <c r="A53" s="33"/>
      <c r="B53" s="34"/>
      <c r="C53" s="34"/>
      <c r="F53" s="33"/>
    </row>
    <row r="54" spans="1:6">
      <c r="A54" s="33"/>
      <c r="B54" s="34"/>
      <c r="C54" s="34"/>
      <c r="F54" s="33"/>
    </row>
    <row r="55" spans="1:6">
      <c r="A55" s="33"/>
      <c r="B55" s="34"/>
      <c r="C55" s="34"/>
      <c r="F55" s="33"/>
    </row>
    <row r="56" spans="1:6">
      <c r="A56" s="33"/>
      <c r="B56" s="34"/>
      <c r="C56" s="34"/>
      <c r="F56" s="33"/>
    </row>
    <row r="57" spans="1:6">
      <c r="A57" s="33"/>
      <c r="B57" s="34"/>
      <c r="C57" s="34"/>
      <c r="F57" s="34"/>
    </row>
    <row r="58" spans="1:7">
      <c r="A58" s="33"/>
      <c r="B58" s="34"/>
      <c r="C58" s="34"/>
      <c r="F58" s="34"/>
      <c r="G58" s="40"/>
    </row>
    <row r="59" spans="1:6">
      <c r="A59" s="33"/>
      <c r="B59" s="34"/>
      <c r="C59" s="34"/>
      <c r="F59" s="34"/>
    </row>
    <row r="60" spans="1:6">
      <c r="A60" s="33"/>
      <c r="B60" s="34"/>
      <c r="C60" s="34"/>
      <c r="F60" s="33"/>
    </row>
    <row r="61" spans="1:6">
      <c r="A61" s="33"/>
      <c r="B61" s="34"/>
      <c r="C61" s="34"/>
      <c r="F61" s="33"/>
    </row>
    <row r="62" spans="1:6">
      <c r="A62" s="33"/>
      <c r="B62" s="34"/>
      <c r="C62" s="34"/>
      <c r="F62" s="33"/>
    </row>
    <row r="63" spans="1:6">
      <c r="A63" s="33"/>
      <c r="B63" s="34"/>
      <c r="C63" s="34"/>
      <c r="F63" s="33"/>
    </row>
    <row r="64" spans="1:6">
      <c r="A64" s="33"/>
      <c r="B64" s="34"/>
      <c r="C64" s="34"/>
      <c r="F64" s="33"/>
    </row>
    <row r="65" spans="1:6">
      <c r="A65" s="33"/>
      <c r="B65" s="34"/>
      <c r="C65" s="34"/>
      <c r="F65" s="34"/>
    </row>
    <row r="66" spans="1:7">
      <c r="A66" s="33"/>
      <c r="B66" s="34"/>
      <c r="C66" s="34"/>
      <c r="F66" s="34"/>
      <c r="G66" s="40"/>
    </row>
    <row r="67" spans="1:6">
      <c r="A67" s="33"/>
      <c r="B67" s="34"/>
      <c r="C67" s="34"/>
      <c r="F67" s="34"/>
    </row>
    <row r="68" spans="1:6">
      <c r="A68" s="33"/>
      <c r="B68" s="34"/>
      <c r="C68" s="34"/>
      <c r="F68" s="33"/>
    </row>
    <row r="69" spans="1:6">
      <c r="A69" s="33"/>
      <c r="B69" s="34"/>
      <c r="C69" s="34"/>
      <c r="F69" s="33"/>
    </row>
    <row r="70" spans="1:6">
      <c r="A70" s="33"/>
      <c r="B70" s="34"/>
      <c r="C70" s="34"/>
      <c r="F70" s="33"/>
    </row>
    <row r="71" spans="1:6">
      <c r="A71" s="33"/>
      <c r="B71" s="34"/>
      <c r="C71" s="34"/>
      <c r="F71" s="33"/>
    </row>
    <row r="72" spans="1:6">
      <c r="A72" s="33"/>
      <c r="B72" s="34"/>
      <c r="C72" s="34"/>
      <c r="F72" s="33"/>
    </row>
    <row r="73" spans="1:6">
      <c r="A73" s="33"/>
      <c r="B73" s="34"/>
      <c r="C73" s="34"/>
      <c r="F73" s="34"/>
    </row>
    <row r="74" spans="1:7">
      <c r="A74" s="33"/>
      <c r="B74" s="34"/>
      <c r="C74" s="34"/>
      <c r="F74" s="34"/>
      <c r="G74" s="40"/>
    </row>
    <row r="75" spans="1:6">
      <c r="A75" s="33"/>
      <c r="B75" s="34"/>
      <c r="C75" s="34"/>
      <c r="F75" s="34"/>
    </row>
    <row r="76" spans="1:6">
      <c r="A76" s="33"/>
      <c r="B76" s="34"/>
      <c r="C76" s="34"/>
      <c r="F76" s="33"/>
    </row>
    <row r="77" spans="1:6">
      <c r="A77" s="33"/>
      <c r="B77" s="34"/>
      <c r="C77" s="34"/>
      <c r="F77" s="33"/>
    </row>
    <row r="78" spans="1:6">
      <c r="A78" s="33"/>
      <c r="B78" s="34"/>
      <c r="C78" s="34"/>
      <c r="F78" s="33"/>
    </row>
    <row r="79" spans="1:6">
      <c r="A79" s="33"/>
      <c r="B79" s="34"/>
      <c r="C79" s="34"/>
      <c r="F79" s="33"/>
    </row>
    <row r="80" spans="1:6">
      <c r="A80" s="33"/>
      <c r="B80" s="34"/>
      <c r="C80" s="34"/>
      <c r="F80" s="33"/>
    </row>
    <row r="81" spans="1:6">
      <c r="A81" s="33"/>
      <c r="B81" s="34"/>
      <c r="C81" s="34"/>
      <c r="F81" s="34"/>
    </row>
    <row r="82" spans="1:7">
      <c r="A82" s="33"/>
      <c r="B82" s="34"/>
      <c r="C82" s="34"/>
      <c r="F82" s="34"/>
      <c r="G82" s="40"/>
    </row>
    <row r="83" spans="1:6">
      <c r="A83" s="33"/>
      <c r="B83" s="34"/>
      <c r="C83" s="34"/>
      <c r="F83" s="34"/>
    </row>
    <row r="84" spans="1:6">
      <c r="A84" s="33"/>
      <c r="B84" s="34"/>
      <c r="C84" s="34"/>
      <c r="F84" s="33"/>
    </row>
    <row r="85" spans="1:6">
      <c r="A85" s="33"/>
      <c r="B85" s="34"/>
      <c r="C85" s="34"/>
      <c r="F85" s="33"/>
    </row>
    <row r="86" spans="1:6">
      <c r="A86" s="33"/>
      <c r="B86" s="34"/>
      <c r="C86" s="34"/>
      <c r="F86" s="33"/>
    </row>
    <row r="87" spans="1:6">
      <c r="A87" s="33"/>
      <c r="B87" s="34"/>
      <c r="C87" s="34"/>
      <c r="F87" s="33"/>
    </row>
    <row r="88" spans="1:6">
      <c r="A88" s="33"/>
      <c r="B88" s="34"/>
      <c r="C88" s="34"/>
      <c r="F88" s="33"/>
    </row>
    <row r="89" spans="1:6">
      <c r="A89" s="33"/>
      <c r="B89" s="34"/>
      <c r="C89" s="34"/>
      <c r="F89" s="34"/>
    </row>
    <row r="90" spans="1:7">
      <c r="A90" s="33"/>
      <c r="B90" s="34"/>
      <c r="C90" s="34"/>
      <c r="F90" s="34"/>
      <c r="G90" s="40"/>
    </row>
    <row r="91" spans="1:6">
      <c r="A91" s="33"/>
      <c r="B91" s="34"/>
      <c r="C91" s="34"/>
      <c r="F91" s="34"/>
    </row>
    <row r="92" spans="1:6">
      <c r="A92" s="33"/>
      <c r="B92" s="34"/>
      <c r="C92" s="34"/>
      <c r="F92" s="33"/>
    </row>
    <row r="93" spans="1:6">
      <c r="A93" s="33"/>
      <c r="B93" s="34"/>
      <c r="C93" s="34"/>
      <c r="F93" s="33"/>
    </row>
    <row r="94" spans="1:6">
      <c r="A94" s="33"/>
      <c r="B94" s="34"/>
      <c r="C94" s="34"/>
      <c r="F94" s="33"/>
    </row>
    <row r="95" spans="1:6">
      <c r="A95" s="33"/>
      <c r="B95" s="34"/>
      <c r="C95" s="34"/>
      <c r="F95" s="33"/>
    </row>
    <row r="96" spans="1:6">
      <c r="A96" s="33"/>
      <c r="B96" s="34"/>
      <c r="C96" s="34"/>
      <c r="F96" s="33"/>
    </row>
    <row r="97" spans="1:6">
      <c r="A97" s="33"/>
      <c r="B97" s="34"/>
      <c r="C97" s="34"/>
      <c r="F97" s="34"/>
    </row>
    <row r="98" spans="1:7">
      <c r="A98" s="33"/>
      <c r="B98" s="34"/>
      <c r="C98" s="34"/>
      <c r="F98" s="34"/>
      <c r="G98" s="40"/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3"/>
  <dimension ref="A1:K75"/>
  <sheetViews>
    <sheetView workbookViewId="0">
      <selection activeCell="I67" sqref="I67"/>
    </sheetView>
  </sheetViews>
  <sheetFormatPr defaultColWidth="8.73636363636364" defaultRowHeight="14"/>
  <cols>
    <col min="6" max="7" width="15.4454545454545" customWidth="1"/>
  </cols>
  <sheetData>
    <row r="1" spans="1:11">
      <c r="A1" s="33" t="s">
        <v>99</v>
      </c>
      <c r="B1" s="33" t="s">
        <v>100</v>
      </c>
      <c r="C1" s="33" t="s">
        <v>101</v>
      </c>
      <c r="D1" s="33" t="s">
        <v>102</v>
      </c>
      <c r="E1" s="33" t="s">
        <v>103</v>
      </c>
      <c r="F1" s="33" t="s">
        <v>104</v>
      </c>
      <c r="G1" s="33" t="s">
        <v>105</v>
      </c>
      <c r="H1" s="33" t="s">
        <v>106</v>
      </c>
      <c r="I1" s="33" t="s">
        <v>107</v>
      </c>
      <c r="J1" s="33" t="s">
        <v>108</v>
      </c>
      <c r="K1" s="33" t="s">
        <v>109</v>
      </c>
    </row>
    <row r="2" spans="1:9">
      <c r="A2" s="33"/>
      <c r="B2" s="33">
        <f>HEX2DEC(C2)</f>
        <v>1024</v>
      </c>
      <c r="C2" s="33" t="s">
        <v>623</v>
      </c>
      <c r="D2" s="33"/>
      <c r="E2" s="33"/>
      <c r="F2" s="33"/>
      <c r="G2" s="33"/>
      <c r="H2" s="35"/>
      <c r="I2" s="35"/>
    </row>
    <row r="3" spans="1:11">
      <c r="A3" s="33">
        <v>1</v>
      </c>
      <c r="B3" s="34">
        <f>$B$2+A3-1</f>
        <v>1024</v>
      </c>
      <c r="C3" s="34" t="str">
        <f>DEC2HEX(B3,4)</f>
        <v>0400</v>
      </c>
      <c r="D3" s="33"/>
      <c r="E3" s="1"/>
      <c r="F3" s="1"/>
      <c r="G3" s="1"/>
      <c r="H3" s="13"/>
      <c r="I3" s="13"/>
      <c r="J3" s="5"/>
      <c r="K3" s="5"/>
    </row>
    <row r="4" spans="1:11">
      <c r="A4" s="33"/>
      <c r="B4" s="34"/>
      <c r="C4" s="34"/>
      <c r="D4" s="33"/>
      <c r="E4" s="1"/>
      <c r="F4" s="1"/>
      <c r="G4" s="1"/>
      <c r="H4" s="13"/>
      <c r="I4" s="13"/>
      <c r="J4" s="5"/>
      <c r="K4" s="5"/>
    </row>
    <row r="5" spans="1:11">
      <c r="A5" s="33"/>
      <c r="B5" s="34"/>
      <c r="C5" s="34"/>
      <c r="D5" s="33"/>
      <c r="E5" s="1"/>
      <c r="F5" s="1"/>
      <c r="G5" s="1"/>
      <c r="H5" s="13"/>
      <c r="I5" s="13"/>
      <c r="J5" s="5"/>
      <c r="K5" s="5"/>
    </row>
    <row r="6" spans="1:11">
      <c r="A6" s="33"/>
      <c r="B6" s="34"/>
      <c r="C6" s="34"/>
      <c r="D6" s="33"/>
      <c r="E6" s="1"/>
      <c r="F6" s="1"/>
      <c r="G6" s="1"/>
      <c r="H6" s="13"/>
      <c r="I6" s="13"/>
      <c r="J6" s="5"/>
      <c r="K6" s="5"/>
    </row>
    <row r="7" spans="1:11">
      <c r="A7" s="33"/>
      <c r="B7" s="34"/>
      <c r="C7" s="34"/>
      <c r="D7" s="33"/>
      <c r="E7" s="1"/>
      <c r="F7" s="1"/>
      <c r="G7" s="1"/>
      <c r="H7" s="13"/>
      <c r="I7" s="13"/>
      <c r="J7" s="5"/>
      <c r="K7" s="5"/>
    </row>
    <row r="8" spans="1:11">
      <c r="A8" s="33"/>
      <c r="B8" s="34"/>
      <c r="C8" s="34"/>
      <c r="D8" s="33"/>
      <c r="E8" s="1"/>
      <c r="F8" s="1"/>
      <c r="G8" s="1"/>
      <c r="H8" s="5"/>
      <c r="I8" s="13"/>
      <c r="J8" s="5"/>
      <c r="K8" s="5"/>
    </row>
    <row r="9" spans="1:11">
      <c r="A9" s="33"/>
      <c r="B9" s="34"/>
      <c r="C9" s="34"/>
      <c r="D9" s="33"/>
      <c r="E9" s="1"/>
      <c r="F9" s="1"/>
      <c r="G9" s="1"/>
      <c r="H9" s="5"/>
      <c r="I9" s="13"/>
      <c r="J9" s="5"/>
      <c r="K9" s="5"/>
    </row>
    <row r="10" spans="1:11">
      <c r="A10" s="33"/>
      <c r="B10" s="34"/>
      <c r="C10" s="34"/>
      <c r="D10" s="33"/>
      <c r="E10" s="1"/>
      <c r="F10" s="1"/>
      <c r="G10" s="1"/>
      <c r="H10" s="13"/>
      <c r="I10" s="13"/>
      <c r="J10" s="5"/>
      <c r="K10" s="5"/>
    </row>
    <row r="11" spans="1:11">
      <c r="A11" s="33"/>
      <c r="B11" s="34"/>
      <c r="C11" s="34"/>
      <c r="D11" s="33"/>
      <c r="E11" s="1"/>
      <c r="F11" s="1"/>
      <c r="G11" s="1"/>
      <c r="H11" s="13"/>
      <c r="I11" s="13"/>
      <c r="J11" s="5"/>
      <c r="K11" s="5"/>
    </row>
    <row r="12" spans="1:11">
      <c r="A12" s="33"/>
      <c r="B12" s="34"/>
      <c r="C12" s="34"/>
      <c r="D12" s="33"/>
      <c r="E12" s="1"/>
      <c r="F12" s="1"/>
      <c r="G12" s="1"/>
      <c r="H12" s="13"/>
      <c r="I12" s="13"/>
      <c r="J12" s="5"/>
      <c r="K12" s="5"/>
    </row>
    <row r="13" spans="1:11">
      <c r="A13" s="33"/>
      <c r="B13" s="34"/>
      <c r="C13" s="34"/>
      <c r="D13" s="33"/>
      <c r="E13" s="1"/>
      <c r="F13" s="1"/>
      <c r="G13" s="1"/>
      <c r="H13" s="13"/>
      <c r="I13" s="13"/>
      <c r="J13" s="5"/>
      <c r="K13" s="5"/>
    </row>
    <row r="14" spans="1:11">
      <c r="A14" s="33"/>
      <c r="B14" s="34"/>
      <c r="C14" s="34"/>
      <c r="D14" s="33"/>
      <c r="E14" s="1"/>
      <c r="F14" s="1"/>
      <c r="G14" s="1"/>
      <c r="H14" s="13"/>
      <c r="I14" s="13"/>
      <c r="J14" s="5"/>
      <c r="K14" s="5"/>
    </row>
    <row r="15" spans="1:11">
      <c r="A15" s="33"/>
      <c r="B15" s="34"/>
      <c r="C15" s="34"/>
      <c r="D15" s="33"/>
      <c r="E15" s="1"/>
      <c r="F15" s="1"/>
      <c r="G15" s="1"/>
      <c r="H15" s="13"/>
      <c r="I15" s="13"/>
      <c r="J15" s="5"/>
      <c r="K15" s="5"/>
    </row>
    <row r="16" spans="1:11">
      <c r="A16" s="33"/>
      <c r="B16" s="34"/>
      <c r="C16" s="34"/>
      <c r="D16" s="33"/>
      <c r="E16" s="1"/>
      <c r="F16" s="1"/>
      <c r="G16" s="1"/>
      <c r="H16" s="13"/>
      <c r="I16" s="13"/>
      <c r="J16" s="5"/>
      <c r="K16" s="5"/>
    </row>
    <row r="17" spans="1:11">
      <c r="A17" s="33"/>
      <c r="B17" s="34"/>
      <c r="C17" s="34"/>
      <c r="D17" s="33"/>
      <c r="E17" s="1"/>
      <c r="F17" s="1"/>
      <c r="G17" s="1"/>
      <c r="H17" s="13"/>
      <c r="I17" s="13"/>
      <c r="J17" s="5"/>
      <c r="K17" s="5"/>
    </row>
    <row r="18" spans="1:11">
      <c r="A18" s="33"/>
      <c r="B18" s="34"/>
      <c r="C18" s="34"/>
      <c r="D18" s="33"/>
      <c r="E18" s="1"/>
      <c r="F18" s="1"/>
      <c r="G18" s="1"/>
      <c r="H18" s="13"/>
      <c r="I18" s="5"/>
      <c r="J18" s="5"/>
      <c r="K18" s="5"/>
    </row>
    <row r="19" spans="1:11">
      <c r="A19" s="33"/>
      <c r="B19" s="34"/>
      <c r="C19" s="34"/>
      <c r="D19" s="33"/>
      <c r="E19" s="1"/>
      <c r="F19" s="1"/>
      <c r="G19" s="1"/>
      <c r="H19" s="13"/>
      <c r="I19" s="5"/>
      <c r="J19" s="5"/>
      <c r="K19" s="5"/>
    </row>
    <row r="20" spans="1:11">
      <c r="A20" s="33"/>
      <c r="B20" s="34"/>
      <c r="C20" s="34"/>
      <c r="D20" s="33"/>
      <c r="E20" s="1"/>
      <c r="F20" s="1"/>
      <c r="G20" s="1"/>
      <c r="H20" s="13"/>
      <c r="I20" s="5"/>
      <c r="J20" s="5"/>
      <c r="K20" s="5"/>
    </row>
    <row r="21" spans="1:11">
      <c r="A21" s="33"/>
      <c r="B21" s="34"/>
      <c r="C21" s="34"/>
      <c r="D21" s="33"/>
      <c r="E21" s="1"/>
      <c r="F21" s="1"/>
      <c r="G21" s="1"/>
      <c r="H21" s="13"/>
      <c r="I21" s="5"/>
      <c r="J21" s="5"/>
      <c r="K21" s="5"/>
    </row>
    <row r="22" spans="1:11">
      <c r="A22" s="33"/>
      <c r="B22" s="34"/>
      <c r="C22" s="34"/>
      <c r="D22" s="33"/>
      <c r="E22" s="1"/>
      <c r="F22" s="1"/>
      <c r="G22" s="1"/>
      <c r="H22" s="13"/>
      <c r="I22" s="5"/>
      <c r="J22" s="5"/>
      <c r="K22" s="5"/>
    </row>
    <row r="23" spans="1:11">
      <c r="A23" s="33"/>
      <c r="B23" s="34"/>
      <c r="C23" s="34"/>
      <c r="D23" s="33"/>
      <c r="E23" s="1"/>
      <c r="F23" s="1"/>
      <c r="G23" s="1"/>
      <c r="H23" s="13"/>
      <c r="I23" s="5"/>
      <c r="J23" s="5"/>
      <c r="K23" s="5"/>
    </row>
    <row r="24" spans="1:11">
      <c r="A24" s="33"/>
      <c r="B24" s="34"/>
      <c r="C24" s="34"/>
      <c r="D24" s="33"/>
      <c r="E24" s="1"/>
      <c r="F24" s="1"/>
      <c r="G24" s="1"/>
      <c r="H24" s="13"/>
      <c r="I24" s="5"/>
      <c r="J24" s="5"/>
      <c r="K24" s="5"/>
    </row>
    <row r="25" spans="1:11">
      <c r="A25" s="33"/>
      <c r="B25" s="34"/>
      <c r="C25" s="34"/>
      <c r="D25" s="33"/>
      <c r="E25" s="1"/>
      <c r="F25" s="1"/>
      <c r="G25" s="1"/>
      <c r="H25" s="13"/>
      <c r="I25" s="13"/>
      <c r="J25" s="5"/>
      <c r="K25" s="5"/>
    </row>
    <row r="26" spans="1:11">
      <c r="A26" s="33"/>
      <c r="B26" s="34"/>
      <c r="C26" s="34"/>
      <c r="D26" s="33"/>
      <c r="E26" s="1"/>
      <c r="F26" s="1"/>
      <c r="G26" s="1"/>
      <c r="H26" s="13"/>
      <c r="I26" s="13"/>
      <c r="J26" s="5"/>
      <c r="K26" s="5"/>
    </row>
    <row r="27" spans="1:11">
      <c r="A27" s="33"/>
      <c r="B27" s="34"/>
      <c r="C27" s="34"/>
      <c r="D27" s="33"/>
      <c r="E27" s="1"/>
      <c r="F27" s="1"/>
      <c r="G27" s="1"/>
      <c r="H27" s="13"/>
      <c r="I27" s="13"/>
      <c r="J27" s="5"/>
      <c r="K27" s="5"/>
    </row>
    <row r="28" spans="1:11">
      <c r="A28" s="33"/>
      <c r="B28" s="34"/>
      <c r="C28" s="34"/>
      <c r="D28" s="33"/>
      <c r="E28" s="1"/>
      <c r="F28" s="1"/>
      <c r="G28" s="1"/>
      <c r="H28" s="13"/>
      <c r="I28" s="13"/>
      <c r="J28" s="5"/>
      <c r="K28" s="5"/>
    </row>
    <row r="29" spans="1:11">
      <c r="A29" s="33"/>
      <c r="B29" s="34"/>
      <c r="C29" s="34"/>
      <c r="D29" s="33"/>
      <c r="E29" s="1"/>
      <c r="F29" s="1"/>
      <c r="G29" s="1"/>
      <c r="H29" s="13"/>
      <c r="I29" s="5"/>
      <c r="J29" s="5"/>
      <c r="K29" s="5"/>
    </row>
    <row r="30" spans="1:11">
      <c r="A30" s="33"/>
      <c r="B30" s="34"/>
      <c r="C30" s="34"/>
      <c r="E30" s="1"/>
      <c r="F30" s="1"/>
      <c r="G30" s="1"/>
      <c r="H30" s="13"/>
      <c r="I30" s="5"/>
      <c r="J30" s="5"/>
      <c r="K30" s="5"/>
    </row>
    <row r="31" spans="1:11">
      <c r="A31" s="33"/>
      <c r="B31" s="34"/>
      <c r="C31" s="34"/>
      <c r="E31" s="1"/>
      <c r="F31" s="1"/>
      <c r="G31" s="1"/>
      <c r="H31" s="13"/>
      <c r="I31" s="5"/>
      <c r="J31" s="5"/>
      <c r="K31" s="5"/>
    </row>
    <row r="32" spans="1:11">
      <c r="A32" s="33"/>
      <c r="B32" s="34"/>
      <c r="C32" s="34"/>
      <c r="E32" s="1"/>
      <c r="F32" s="1"/>
      <c r="G32" s="1"/>
      <c r="H32" s="13"/>
      <c r="I32" s="5"/>
      <c r="J32" s="5"/>
      <c r="K32" s="5"/>
    </row>
    <row r="33" spans="1:11">
      <c r="A33" s="33"/>
      <c r="B33" s="34"/>
      <c r="C33" s="34"/>
      <c r="E33" s="1"/>
      <c r="F33" s="1"/>
      <c r="G33" s="1"/>
      <c r="H33" s="13"/>
      <c r="I33" s="5"/>
      <c r="J33" s="5"/>
      <c r="K33" s="5"/>
    </row>
    <row r="34" spans="1:11">
      <c r="A34" s="33"/>
      <c r="B34" s="34"/>
      <c r="C34" s="34"/>
      <c r="E34" s="1"/>
      <c r="F34" s="1"/>
      <c r="G34" s="1"/>
      <c r="H34" s="13"/>
      <c r="I34" s="5"/>
      <c r="J34" s="5"/>
      <c r="K34" s="5"/>
    </row>
    <row r="35" spans="1:11">
      <c r="A35" s="33"/>
      <c r="B35" s="34"/>
      <c r="C35" s="34"/>
      <c r="E35" s="1"/>
      <c r="F35" s="1"/>
      <c r="G35" s="1"/>
      <c r="H35" s="13"/>
      <c r="I35" s="5"/>
      <c r="J35" s="5"/>
      <c r="K35" s="5"/>
    </row>
    <row r="36" spans="1:11">
      <c r="A36" s="33"/>
      <c r="B36" s="34"/>
      <c r="C36" s="34"/>
      <c r="E36" s="1"/>
      <c r="F36" s="1"/>
      <c r="G36" s="1"/>
      <c r="H36" s="13"/>
      <c r="I36" s="5"/>
      <c r="J36" s="5"/>
      <c r="K36" s="5"/>
    </row>
    <row r="37" spans="1:11">
      <c r="A37" s="33"/>
      <c r="B37" s="34"/>
      <c r="C37" s="34"/>
      <c r="E37" s="1"/>
      <c r="F37" s="1"/>
      <c r="G37" s="1"/>
      <c r="H37" s="13"/>
      <c r="I37" s="13"/>
      <c r="J37" s="5"/>
      <c r="K37" s="5"/>
    </row>
    <row r="38" spans="1:11">
      <c r="A38" s="33"/>
      <c r="B38" s="34"/>
      <c r="C38" s="34"/>
      <c r="E38" s="1"/>
      <c r="F38" s="1"/>
      <c r="G38" s="1"/>
      <c r="H38" s="13"/>
      <c r="I38" s="13"/>
      <c r="J38" s="5"/>
      <c r="K38" s="5"/>
    </row>
    <row r="39" spans="1:9">
      <c r="A39" s="33"/>
      <c r="B39" s="34"/>
      <c r="C39" s="34"/>
      <c r="I39" s="35"/>
    </row>
    <row r="40" spans="1:9">
      <c r="A40" s="33"/>
      <c r="B40" s="34"/>
      <c r="C40" s="34"/>
      <c r="I40" s="35"/>
    </row>
    <row r="41" spans="1:9">
      <c r="A41" s="33"/>
      <c r="B41" s="34"/>
      <c r="C41" s="34"/>
      <c r="E41" s="33"/>
      <c r="F41" s="33"/>
      <c r="G41" s="33"/>
      <c r="H41" s="35"/>
      <c r="I41" s="35"/>
    </row>
    <row r="42" spans="1:9">
      <c r="A42" s="33"/>
      <c r="B42" s="34"/>
      <c r="C42" s="34"/>
      <c r="I42" s="35"/>
    </row>
    <row r="43" spans="1:9">
      <c r="A43" s="33"/>
      <c r="B43" s="34"/>
      <c r="C43" s="34"/>
      <c r="I43" s="35"/>
    </row>
    <row r="44" spans="1:9">
      <c r="A44" s="33"/>
      <c r="B44" s="34"/>
      <c r="C44" s="34"/>
      <c r="I44" s="35"/>
    </row>
    <row r="45" spans="1:9">
      <c r="A45" s="33"/>
      <c r="B45" s="34"/>
      <c r="C45" s="34"/>
      <c r="I45" s="35"/>
    </row>
    <row r="46" spans="1:9">
      <c r="A46" s="33"/>
      <c r="B46" s="34"/>
      <c r="C46" s="34"/>
      <c r="I46" s="35"/>
    </row>
    <row r="47" spans="1:9">
      <c r="A47" s="33"/>
      <c r="B47" s="34"/>
      <c r="C47" s="34"/>
      <c r="I47" s="35"/>
    </row>
    <row r="48" spans="1:9">
      <c r="A48" s="33"/>
      <c r="B48" s="34"/>
      <c r="C48" s="34"/>
      <c r="I48" s="35"/>
    </row>
    <row r="49" spans="1:9">
      <c r="A49" s="33"/>
      <c r="B49" s="34"/>
      <c r="C49" s="34"/>
      <c r="I49" s="35"/>
    </row>
    <row r="50" spans="1:3">
      <c r="A50" s="33"/>
      <c r="B50" s="34"/>
      <c r="C50" s="34"/>
    </row>
    <row r="51" spans="1:3">
      <c r="A51" s="33"/>
      <c r="B51" s="34"/>
      <c r="C51" s="34"/>
    </row>
    <row r="52" spans="1:3">
      <c r="A52" s="33"/>
      <c r="B52" s="34"/>
      <c r="C52" s="34"/>
    </row>
    <row r="53" spans="1:3">
      <c r="A53" s="33"/>
      <c r="B53" s="34"/>
      <c r="C53" s="34"/>
    </row>
    <row r="54" spans="1:3">
      <c r="A54" s="33"/>
      <c r="B54" s="34"/>
      <c r="C54" s="34"/>
    </row>
    <row r="55" spans="1:3">
      <c r="A55" s="33"/>
      <c r="B55" s="34"/>
      <c r="C55" s="34"/>
    </row>
    <row r="56" spans="1:3">
      <c r="A56" s="33"/>
      <c r="B56" s="34"/>
      <c r="C56" s="34"/>
    </row>
    <row r="57" spans="1:9">
      <c r="A57" s="33"/>
      <c r="B57" s="34"/>
      <c r="C57" s="34"/>
      <c r="E57" s="33"/>
      <c r="F57" s="33"/>
      <c r="G57" s="33"/>
      <c r="H57" s="35"/>
      <c r="I57" s="35"/>
    </row>
    <row r="58" spans="1:9">
      <c r="A58" s="33"/>
      <c r="B58" s="34"/>
      <c r="C58" s="34"/>
      <c r="E58" s="33"/>
      <c r="F58" s="33"/>
      <c r="G58" s="33"/>
      <c r="H58" s="35"/>
      <c r="I58" s="35"/>
    </row>
    <row r="59" spans="1:9">
      <c r="A59" s="33"/>
      <c r="B59" s="34"/>
      <c r="C59" s="34"/>
      <c r="E59" s="33"/>
      <c r="F59" s="33"/>
      <c r="G59" s="33"/>
      <c r="H59" s="35"/>
      <c r="I59" s="35"/>
    </row>
    <row r="60" spans="1:9">
      <c r="A60" s="33"/>
      <c r="B60" s="34"/>
      <c r="C60" s="34"/>
      <c r="E60" s="33"/>
      <c r="F60" s="33"/>
      <c r="G60" s="33"/>
      <c r="H60" s="35"/>
      <c r="I60" s="35"/>
    </row>
    <row r="61" spans="1:9">
      <c r="A61" s="33"/>
      <c r="B61" s="34"/>
      <c r="C61" s="34"/>
      <c r="E61" s="33"/>
      <c r="F61" s="33"/>
      <c r="G61" s="33"/>
      <c r="H61" s="35"/>
      <c r="I61" s="35"/>
    </row>
    <row r="62" spans="1:9">
      <c r="A62" s="33"/>
      <c r="B62" s="34"/>
      <c r="C62" s="34"/>
      <c r="E62" s="33"/>
      <c r="F62" s="33"/>
      <c r="G62" s="33"/>
      <c r="H62" s="35"/>
      <c r="I62" s="35"/>
    </row>
    <row r="63" spans="1:9">
      <c r="A63" s="33"/>
      <c r="B63" s="34"/>
      <c r="C63" s="34"/>
      <c r="E63" s="1"/>
      <c r="F63" s="1"/>
      <c r="G63" s="1"/>
      <c r="H63" s="13"/>
      <c r="I63" s="35"/>
    </row>
    <row r="64" spans="1:9">
      <c r="A64" s="33"/>
      <c r="B64" s="34"/>
      <c r="C64" s="34"/>
      <c r="E64" s="1"/>
      <c r="F64" s="1"/>
      <c r="G64" s="1"/>
      <c r="H64" s="13"/>
      <c r="I64" s="35"/>
    </row>
    <row r="65" spans="1:9">
      <c r="A65" s="33"/>
      <c r="B65" s="34"/>
      <c r="C65" s="34"/>
      <c r="E65" s="1"/>
      <c r="F65" s="1"/>
      <c r="G65" s="1"/>
      <c r="H65" s="13"/>
      <c r="I65" s="35"/>
    </row>
    <row r="66" spans="1:8">
      <c r="A66" s="33"/>
      <c r="B66" s="34"/>
      <c r="C66" s="34"/>
      <c r="E66" s="1"/>
      <c r="F66" s="1"/>
      <c r="G66" s="1"/>
      <c r="H66" s="13"/>
    </row>
    <row r="67" spans="5:8">
      <c r="E67" s="5"/>
      <c r="F67" s="5"/>
      <c r="G67" s="5"/>
      <c r="H67" s="5"/>
    </row>
    <row r="68" spans="5:8">
      <c r="E68" s="5"/>
      <c r="F68" s="5"/>
      <c r="G68" s="5"/>
      <c r="H68" s="5"/>
    </row>
    <row r="69" spans="5:8">
      <c r="E69" s="5"/>
      <c r="F69" s="5"/>
      <c r="G69" s="5"/>
      <c r="H69" s="5"/>
    </row>
    <row r="70" spans="5:8">
      <c r="E70" s="5"/>
      <c r="F70" s="5"/>
      <c r="G70" s="5"/>
      <c r="H70" s="5"/>
    </row>
    <row r="71" spans="5:8">
      <c r="E71" s="5"/>
      <c r="F71" s="5"/>
      <c r="G71" s="5"/>
      <c r="H71" s="5"/>
    </row>
    <row r="72" spans="5:8">
      <c r="E72" s="5"/>
      <c r="F72" s="5"/>
      <c r="G72" s="5"/>
      <c r="H72" s="5"/>
    </row>
    <row r="73" spans="5:8">
      <c r="E73" s="5"/>
      <c r="F73" s="5"/>
      <c r="G73" s="5"/>
      <c r="H73" s="5"/>
    </row>
    <row r="74" spans="5:8">
      <c r="E74" s="5"/>
      <c r="F74" s="5"/>
      <c r="G74" s="5"/>
      <c r="H74" s="5"/>
    </row>
    <row r="75" spans="5:8">
      <c r="E75" s="5"/>
      <c r="F75" s="5"/>
      <c r="G75" s="5"/>
      <c r="H75" s="5"/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2"/>
  <dimension ref="A1:K52"/>
  <sheetViews>
    <sheetView zoomScale="115" zoomScaleNormal="115" workbookViewId="0">
      <selection activeCell="N28" sqref="N28"/>
    </sheetView>
  </sheetViews>
  <sheetFormatPr defaultColWidth="8.73636363636364" defaultRowHeight="14"/>
  <cols>
    <col min="1" max="1" width="5.55454545454545" customWidth="1"/>
    <col min="2" max="2" width="14" customWidth="1"/>
    <col min="3" max="3" width="5.55454545454545" customWidth="1"/>
    <col min="4" max="4" width="7.55454545454545" customWidth="1"/>
    <col min="5" max="5" width="24.1818181818182" customWidth="1"/>
    <col min="6" max="7" width="14" customWidth="1"/>
    <col min="8" max="8" width="5.55454545454545" customWidth="1"/>
    <col min="9" max="9" width="34.2636363636364" customWidth="1"/>
    <col min="10" max="11" width="7.55454545454545" customWidth="1"/>
  </cols>
  <sheetData>
    <row r="1" spans="1:11">
      <c r="A1" s="33" t="s">
        <v>99</v>
      </c>
      <c r="B1" s="33" t="s">
        <v>100</v>
      </c>
      <c r="C1" s="33" t="s">
        <v>101</v>
      </c>
      <c r="D1" s="33" t="s">
        <v>102</v>
      </c>
      <c r="E1" s="33" t="s">
        <v>103</v>
      </c>
      <c r="F1" s="33" t="s">
        <v>104</v>
      </c>
      <c r="G1" s="33" t="s">
        <v>105</v>
      </c>
      <c r="H1" s="33" t="s">
        <v>106</v>
      </c>
      <c r="I1" s="33" t="s">
        <v>107</v>
      </c>
      <c r="J1" s="33" t="s">
        <v>108</v>
      </c>
      <c r="K1" s="33" t="s">
        <v>109</v>
      </c>
    </row>
    <row r="2" spans="1:11">
      <c r="A2" s="42"/>
      <c r="B2" s="33">
        <f>HEX2DEC(C2)</f>
        <v>4096</v>
      </c>
      <c r="C2" s="33" t="s">
        <v>624</v>
      </c>
      <c r="D2" s="42"/>
      <c r="E2" s="42"/>
      <c r="F2" s="33" t="s">
        <v>625</v>
      </c>
      <c r="G2" s="33"/>
      <c r="H2" s="35"/>
      <c r="I2" s="35"/>
      <c r="J2" s="42"/>
      <c r="K2" s="42"/>
    </row>
    <row r="3" spans="1:11">
      <c r="A3" s="33" t="s">
        <v>76</v>
      </c>
      <c r="B3" s="34">
        <f>$B$2+A3-1</f>
        <v>4096</v>
      </c>
      <c r="C3" s="34" t="str">
        <f>DEC2HEX(B3,4)</f>
        <v>1000</v>
      </c>
      <c r="D3" s="33"/>
      <c r="E3" s="33" t="s">
        <v>112</v>
      </c>
      <c r="F3" s="33" t="s">
        <v>626</v>
      </c>
      <c r="G3" s="33"/>
      <c r="H3" s="35"/>
      <c r="I3" s="35" t="s">
        <v>627</v>
      </c>
      <c r="J3" s="33"/>
      <c r="K3" s="33"/>
    </row>
    <row r="4" spans="1:11">
      <c r="A4" s="33" t="s">
        <v>94</v>
      </c>
      <c r="B4" s="34">
        <f>$B$2+A4-1</f>
        <v>4097</v>
      </c>
      <c r="C4" s="34" t="str">
        <f t="shared" ref="C4:C15" si="0">DEC2HEX(B4,4)</f>
        <v>1001</v>
      </c>
      <c r="D4" s="33"/>
      <c r="E4" s="33" t="s">
        <v>112</v>
      </c>
      <c r="F4" s="33" t="s">
        <v>626</v>
      </c>
      <c r="G4" s="33"/>
      <c r="H4" s="35"/>
      <c r="I4" s="35" t="s">
        <v>628</v>
      </c>
      <c r="J4" s="33"/>
      <c r="K4" s="33"/>
    </row>
    <row r="5" spans="1:11">
      <c r="A5" s="33" t="s">
        <v>115</v>
      </c>
      <c r="B5" s="34">
        <f>$B$2+A5-1</f>
        <v>4098</v>
      </c>
      <c r="C5" s="34" t="str">
        <f t="shared" si="0"/>
        <v>1002</v>
      </c>
      <c r="D5" s="33"/>
      <c r="E5" s="33" t="s">
        <v>112</v>
      </c>
      <c r="F5" s="33" t="s">
        <v>626</v>
      </c>
      <c r="G5" s="33"/>
      <c r="H5" s="35"/>
      <c r="I5" t="s">
        <v>629</v>
      </c>
      <c r="J5" s="33"/>
      <c r="K5" s="33"/>
    </row>
    <row r="6" spans="1:11">
      <c r="A6" s="33" t="s">
        <v>116</v>
      </c>
      <c r="B6" s="34">
        <f>$B$2+A6-1</f>
        <v>4099</v>
      </c>
      <c r="C6" s="34" t="str">
        <f t="shared" si="0"/>
        <v>1003</v>
      </c>
      <c r="D6" s="33"/>
      <c r="E6" s="33" t="s">
        <v>112</v>
      </c>
      <c r="F6" s="33" t="s">
        <v>630</v>
      </c>
      <c r="G6" s="33"/>
      <c r="H6" s="35"/>
      <c r="I6" t="s">
        <v>631</v>
      </c>
      <c r="J6" s="33"/>
      <c r="K6" s="33"/>
    </row>
    <row r="7" spans="1:11">
      <c r="A7" s="33" t="s">
        <v>117</v>
      </c>
      <c r="B7" s="34">
        <f>$B$2+A7-1</f>
        <v>4100</v>
      </c>
      <c r="C7" s="34" t="str">
        <f t="shared" si="0"/>
        <v>1004</v>
      </c>
      <c r="D7" s="33"/>
      <c r="E7" s="33"/>
      <c r="F7" s="33"/>
      <c r="G7" s="33"/>
      <c r="H7" s="35"/>
      <c r="I7" s="35"/>
      <c r="J7" s="33"/>
      <c r="K7" s="33"/>
    </row>
    <row r="8" spans="1:11">
      <c r="A8" s="33" t="s">
        <v>118</v>
      </c>
      <c r="B8" s="34">
        <f>$B$2+A8-1</f>
        <v>4101</v>
      </c>
      <c r="C8" s="34" t="str">
        <f t="shared" si="0"/>
        <v>1005</v>
      </c>
      <c r="D8" s="33"/>
      <c r="E8" s="33"/>
      <c r="F8" s="33"/>
      <c r="G8" s="33"/>
      <c r="H8" s="35"/>
      <c r="I8" s="35"/>
      <c r="J8" s="33"/>
      <c r="K8" s="33"/>
    </row>
    <row r="9" spans="1:11">
      <c r="A9" s="33" t="s">
        <v>119</v>
      </c>
      <c r="B9" s="34">
        <f>$B$2+A9-1</f>
        <v>4102</v>
      </c>
      <c r="C9" s="34" t="str">
        <f t="shared" si="0"/>
        <v>1006</v>
      </c>
      <c r="D9" s="33"/>
      <c r="E9" s="33"/>
      <c r="F9" s="33"/>
      <c r="G9" s="33"/>
      <c r="H9" s="35"/>
      <c r="I9" s="35"/>
      <c r="J9" s="33"/>
      <c r="K9" s="33"/>
    </row>
    <row r="10" spans="1:11">
      <c r="A10" s="33" t="s">
        <v>120</v>
      </c>
      <c r="B10" s="34">
        <f>$B$2+A10-1</f>
        <v>4103</v>
      </c>
      <c r="C10" s="34" t="str">
        <f t="shared" si="0"/>
        <v>1007</v>
      </c>
      <c r="D10" s="33"/>
      <c r="E10" s="33"/>
      <c r="F10" s="33"/>
      <c r="G10" s="33"/>
      <c r="H10" s="35"/>
      <c r="I10" s="35"/>
      <c r="J10" s="33"/>
      <c r="K10" s="33"/>
    </row>
    <row r="11" spans="1:11">
      <c r="A11" s="33" t="s">
        <v>121</v>
      </c>
      <c r="B11" s="34">
        <f>$B$2+A11-1</f>
        <v>4104</v>
      </c>
      <c r="C11" s="34" t="str">
        <f t="shared" si="0"/>
        <v>1008</v>
      </c>
      <c r="D11" s="33"/>
      <c r="E11" s="33"/>
      <c r="F11" s="33"/>
      <c r="G11" s="33"/>
      <c r="H11" s="35"/>
      <c r="I11" s="35"/>
      <c r="J11" s="33"/>
      <c r="K11" s="33"/>
    </row>
    <row r="12" ht="28" spans="1:11">
      <c r="A12" s="33" t="s">
        <v>91</v>
      </c>
      <c r="B12" s="34">
        <f>$B$2+A12-1</f>
        <v>4105</v>
      </c>
      <c r="C12" s="34" t="str">
        <f t="shared" si="0"/>
        <v>1009</v>
      </c>
      <c r="D12" s="42"/>
      <c r="E12" s="33" t="s">
        <v>112</v>
      </c>
      <c r="F12" s="33"/>
      <c r="G12" s="33"/>
      <c r="H12" s="35"/>
      <c r="I12" s="36" t="s">
        <v>632</v>
      </c>
      <c r="J12" s="33"/>
      <c r="K12" s="33"/>
    </row>
    <row r="13" ht="84" spans="1:11">
      <c r="A13" s="33" t="s">
        <v>122</v>
      </c>
      <c r="B13" s="34">
        <f>$B$2+A13-1</f>
        <v>4106</v>
      </c>
      <c r="C13" s="34" t="str">
        <f t="shared" si="0"/>
        <v>100A</v>
      </c>
      <c r="D13" s="42"/>
      <c r="E13" s="33" t="s">
        <v>112</v>
      </c>
      <c r="F13" s="33" t="s">
        <v>633</v>
      </c>
      <c r="G13" s="33"/>
      <c r="H13" s="36"/>
      <c r="I13" s="36" t="s">
        <v>634</v>
      </c>
      <c r="J13" s="33"/>
      <c r="K13" s="33"/>
    </row>
    <row r="14" spans="1:11">
      <c r="A14" s="33" t="s">
        <v>124</v>
      </c>
      <c r="B14" s="34">
        <f>$B$2+A14-1</f>
        <v>4107</v>
      </c>
      <c r="C14" s="34" t="str">
        <f t="shared" si="0"/>
        <v>100B</v>
      </c>
      <c r="D14" s="42"/>
      <c r="E14" s="33" t="s">
        <v>112</v>
      </c>
      <c r="F14" s="33" t="s">
        <v>635</v>
      </c>
      <c r="G14" s="33"/>
      <c r="H14" s="35"/>
      <c r="J14" s="33"/>
      <c r="K14" s="33"/>
    </row>
    <row r="15" spans="1:11">
      <c r="A15" s="33" t="s">
        <v>125</v>
      </c>
      <c r="B15" s="34">
        <f>$B$2+A15-1</f>
        <v>4108</v>
      </c>
      <c r="C15" s="34" t="str">
        <f t="shared" si="0"/>
        <v>100C</v>
      </c>
      <c r="D15" s="42"/>
      <c r="E15" s="33" t="s">
        <v>112</v>
      </c>
      <c r="F15" s="33" t="s">
        <v>636</v>
      </c>
      <c r="G15" s="33"/>
      <c r="H15" s="35" t="s">
        <v>637</v>
      </c>
      <c r="I15" s="35" t="s">
        <v>638</v>
      </c>
      <c r="J15" s="33"/>
      <c r="K15" s="33"/>
    </row>
    <row r="16" spans="1:9">
      <c r="A16" s="33" t="s">
        <v>126</v>
      </c>
      <c r="B16" s="34">
        <f>HEX2DEC(C16)</f>
        <v>4109</v>
      </c>
      <c r="C16" s="34" t="s">
        <v>639</v>
      </c>
      <c r="D16" s="42"/>
      <c r="E16" s="33"/>
      <c r="F16" s="33"/>
      <c r="G16" s="33"/>
      <c r="H16" s="36"/>
      <c r="I16" s="36"/>
    </row>
    <row r="17" spans="1:9">
      <c r="A17" s="33" t="s">
        <v>127</v>
      </c>
      <c r="B17" s="34">
        <v>4110</v>
      </c>
      <c r="C17" s="34" t="s">
        <v>640</v>
      </c>
      <c r="D17" s="42"/>
      <c r="E17" s="33"/>
      <c r="F17" s="33"/>
      <c r="G17" s="33"/>
      <c r="H17" s="36"/>
      <c r="I17" s="36"/>
    </row>
    <row r="18" spans="1:9">
      <c r="A18" s="33" t="s">
        <v>128</v>
      </c>
      <c r="B18" s="34">
        <v>4111</v>
      </c>
      <c r="C18" s="34" t="s">
        <v>641</v>
      </c>
      <c r="D18" s="42"/>
      <c r="E18" s="33"/>
      <c r="F18" s="33"/>
      <c r="G18" s="33"/>
      <c r="H18" s="36"/>
      <c r="I18" s="36"/>
    </row>
    <row r="19" spans="1:9">
      <c r="A19" s="33" t="s">
        <v>131</v>
      </c>
      <c r="B19" s="34">
        <v>4112</v>
      </c>
      <c r="C19" s="34">
        <v>1010</v>
      </c>
      <c r="D19" s="42"/>
      <c r="E19" s="33"/>
      <c r="F19" s="33"/>
      <c r="G19" s="33"/>
      <c r="H19" s="36"/>
      <c r="I19" s="36"/>
    </row>
    <row r="20" spans="1:9">
      <c r="A20" s="33" t="s">
        <v>134</v>
      </c>
      <c r="B20" s="34">
        <f>HEX2DEC(C20)</f>
        <v>4113</v>
      </c>
      <c r="C20" s="34">
        <v>1011</v>
      </c>
      <c r="D20" s="42"/>
      <c r="E20" s="33"/>
      <c r="F20" s="33"/>
      <c r="G20" s="33"/>
      <c r="H20" s="36"/>
      <c r="I20" s="36"/>
    </row>
    <row r="21" spans="1:9">
      <c r="A21" s="33" t="s">
        <v>136</v>
      </c>
      <c r="B21" s="34">
        <v>4114</v>
      </c>
      <c r="C21" s="34">
        <v>1012</v>
      </c>
      <c r="D21" s="42"/>
      <c r="E21" s="33"/>
      <c r="F21" s="33"/>
      <c r="G21" s="33"/>
      <c r="H21" s="36"/>
      <c r="I21" s="36"/>
    </row>
    <row r="22" spans="1:9">
      <c r="A22" s="33" t="s">
        <v>138</v>
      </c>
      <c r="B22" s="34">
        <v>4115</v>
      </c>
      <c r="C22" s="34">
        <v>1013</v>
      </c>
      <c r="D22" s="42"/>
      <c r="E22" s="33"/>
      <c r="F22" s="33"/>
      <c r="G22" s="33"/>
      <c r="H22" s="36"/>
      <c r="I22" s="36"/>
    </row>
    <row r="23" spans="1:9">
      <c r="A23" s="33" t="s">
        <v>140</v>
      </c>
      <c r="B23" s="34">
        <f>HEX2DEC(C23)</f>
        <v>4116</v>
      </c>
      <c r="C23" s="34">
        <v>1014</v>
      </c>
      <c r="D23" s="42"/>
      <c r="E23" s="33"/>
      <c r="F23" s="33"/>
      <c r="G23" s="33"/>
      <c r="H23" s="36"/>
      <c r="I23" s="36"/>
    </row>
    <row r="24" spans="1:9">
      <c r="A24" s="33" t="s">
        <v>142</v>
      </c>
      <c r="B24" s="34">
        <f>HEX2DEC(C24)</f>
        <v>4117</v>
      </c>
      <c r="C24" s="34">
        <v>1015</v>
      </c>
      <c r="D24" s="42"/>
      <c r="E24" s="33"/>
      <c r="F24" s="33"/>
      <c r="G24" s="33"/>
      <c r="H24" s="36"/>
      <c r="I24" s="36"/>
    </row>
    <row r="25" spans="1:9">
      <c r="A25" s="33" t="s">
        <v>144</v>
      </c>
      <c r="B25" s="34">
        <v>4118</v>
      </c>
      <c r="C25" s="34">
        <v>1016</v>
      </c>
      <c r="D25" s="42"/>
      <c r="E25" s="33"/>
      <c r="F25" s="33"/>
      <c r="G25" s="33"/>
      <c r="H25" s="36"/>
      <c r="I25" s="36"/>
    </row>
    <row r="26" spans="1:9">
      <c r="A26" s="33" t="s">
        <v>146</v>
      </c>
      <c r="B26" s="34">
        <v>4119</v>
      </c>
      <c r="C26" s="34">
        <v>1017</v>
      </c>
      <c r="D26" s="42"/>
      <c r="E26" s="33"/>
      <c r="F26" s="33"/>
      <c r="G26" s="33"/>
      <c r="H26" s="36"/>
      <c r="I26" s="36"/>
    </row>
    <row r="27" spans="1:9">
      <c r="A27" s="33" t="s">
        <v>148</v>
      </c>
      <c r="B27" s="34">
        <v>4120</v>
      </c>
      <c r="C27" s="34">
        <v>1018</v>
      </c>
      <c r="D27" s="42"/>
      <c r="E27" s="33"/>
      <c r="F27" s="33"/>
      <c r="G27" s="33"/>
      <c r="H27" s="36"/>
      <c r="I27" s="36"/>
    </row>
    <row r="28" spans="1:9">
      <c r="A28" s="33" t="s">
        <v>150</v>
      </c>
      <c r="B28" s="34">
        <f>HEX2DEC(C28)</f>
        <v>4121</v>
      </c>
      <c r="C28" s="34">
        <v>1019</v>
      </c>
      <c r="D28" s="42"/>
      <c r="E28" s="33"/>
      <c r="F28" s="33"/>
      <c r="G28" s="33"/>
      <c r="H28" s="36"/>
      <c r="I28" s="36"/>
    </row>
    <row r="29" spans="1:9">
      <c r="A29" s="33" t="s">
        <v>152</v>
      </c>
      <c r="B29" s="34">
        <f>HEX2DEC(C29)</f>
        <v>4122</v>
      </c>
      <c r="C29" s="34" t="s">
        <v>642</v>
      </c>
      <c r="D29" s="42"/>
      <c r="E29" s="33"/>
      <c r="F29" s="33"/>
      <c r="G29" s="33"/>
      <c r="H29" s="36"/>
      <c r="I29" s="36"/>
    </row>
    <row r="30" spans="1:9">
      <c r="A30" s="33" t="s">
        <v>154</v>
      </c>
      <c r="B30" s="34">
        <v>4123</v>
      </c>
      <c r="C30" s="34" t="s">
        <v>643</v>
      </c>
      <c r="D30" s="42"/>
      <c r="E30" s="33"/>
      <c r="F30" s="33"/>
      <c r="G30" s="33"/>
      <c r="H30" s="36"/>
      <c r="I30" s="36"/>
    </row>
    <row r="31" spans="1:9">
      <c r="A31" s="33" t="s">
        <v>156</v>
      </c>
      <c r="B31" s="34">
        <v>4124</v>
      </c>
      <c r="C31" s="34" t="s">
        <v>644</v>
      </c>
      <c r="D31" s="42"/>
      <c r="E31" s="33"/>
      <c r="F31" s="33"/>
      <c r="G31" s="33"/>
      <c r="H31" s="36"/>
      <c r="I31" s="36"/>
    </row>
    <row r="32" spans="1:9">
      <c r="A32" s="33" t="s">
        <v>158</v>
      </c>
      <c r="B32" s="34">
        <v>4125</v>
      </c>
      <c r="C32" s="34" t="s">
        <v>645</v>
      </c>
      <c r="D32" s="42"/>
      <c r="E32" s="33"/>
      <c r="F32" s="33"/>
      <c r="G32" s="33"/>
      <c r="H32" s="36"/>
      <c r="I32" s="36"/>
    </row>
    <row r="33" spans="1:9">
      <c r="A33" s="33" t="s">
        <v>160</v>
      </c>
      <c r="B33" s="34">
        <f>HEX2DEC(C33)</f>
        <v>4126</v>
      </c>
      <c r="C33" s="34" t="s">
        <v>646</v>
      </c>
      <c r="D33" s="42"/>
      <c r="E33" s="33"/>
      <c r="F33" s="33"/>
      <c r="G33" s="33"/>
      <c r="H33" s="36"/>
      <c r="I33" s="36"/>
    </row>
    <row r="34" spans="1:9">
      <c r="A34" s="33" t="s">
        <v>162</v>
      </c>
      <c r="B34" s="34">
        <v>4127</v>
      </c>
      <c r="C34" s="34" t="s">
        <v>647</v>
      </c>
      <c r="D34" s="42"/>
      <c r="E34" s="33"/>
      <c r="F34" s="33"/>
      <c r="G34" s="33"/>
      <c r="H34" s="36"/>
      <c r="I34" s="36"/>
    </row>
    <row r="35" spans="1:9">
      <c r="A35" s="33" t="s">
        <v>164</v>
      </c>
      <c r="B35" s="34">
        <v>4128</v>
      </c>
      <c r="C35" s="34">
        <v>1020</v>
      </c>
      <c r="D35" s="42"/>
      <c r="E35" s="33" t="s">
        <v>132</v>
      </c>
      <c r="F35" s="33" t="s">
        <v>113</v>
      </c>
      <c r="G35" s="33" t="s">
        <v>114</v>
      </c>
      <c r="H35" s="36"/>
      <c r="I35" s="36"/>
    </row>
    <row r="36" spans="1:9">
      <c r="A36" s="33" t="s">
        <v>166</v>
      </c>
      <c r="B36" s="34">
        <v>4129</v>
      </c>
      <c r="C36" s="34">
        <v>1021</v>
      </c>
      <c r="D36" s="42"/>
      <c r="E36" s="33" t="s">
        <v>132</v>
      </c>
      <c r="F36" s="33" t="s">
        <v>113</v>
      </c>
      <c r="G36" s="33" t="s">
        <v>114</v>
      </c>
      <c r="H36" s="36"/>
      <c r="I36" s="36"/>
    </row>
    <row r="37" spans="1:9">
      <c r="A37" s="33" t="s">
        <v>168</v>
      </c>
      <c r="B37" s="34">
        <v>4130</v>
      </c>
      <c r="C37" s="34">
        <v>1022</v>
      </c>
      <c r="D37" s="42"/>
      <c r="E37" s="33" t="s">
        <v>132</v>
      </c>
      <c r="F37" s="33" t="s">
        <v>113</v>
      </c>
      <c r="G37" s="33" t="s">
        <v>114</v>
      </c>
      <c r="H37" s="36"/>
      <c r="I37" s="36"/>
    </row>
    <row r="38" spans="1:9">
      <c r="A38" s="33" t="s">
        <v>170</v>
      </c>
      <c r="B38" s="34">
        <v>4131</v>
      </c>
      <c r="C38" s="34">
        <v>1023</v>
      </c>
      <c r="D38" s="42"/>
      <c r="E38" s="33" t="s">
        <v>132</v>
      </c>
      <c r="F38" s="33" t="s">
        <v>113</v>
      </c>
      <c r="G38" s="33" t="s">
        <v>114</v>
      </c>
      <c r="H38" s="36"/>
      <c r="I38" s="36"/>
    </row>
    <row r="39" spans="1:9">
      <c r="A39" s="33" t="s">
        <v>172</v>
      </c>
      <c r="B39" s="34">
        <f>HEX2DEC(C39)</f>
        <v>4132</v>
      </c>
      <c r="C39" s="34">
        <v>1024</v>
      </c>
      <c r="D39" s="42"/>
      <c r="E39" s="33" t="s">
        <v>132</v>
      </c>
      <c r="F39" s="33" t="s">
        <v>113</v>
      </c>
      <c r="G39" s="33" t="s">
        <v>114</v>
      </c>
      <c r="H39" s="36"/>
      <c r="I39" s="36"/>
    </row>
    <row r="40" spans="1:9">
      <c r="A40" s="33" t="s">
        <v>174</v>
      </c>
      <c r="B40" s="34">
        <v>4133</v>
      </c>
      <c r="C40" s="34">
        <v>1025</v>
      </c>
      <c r="D40" s="42"/>
      <c r="E40" s="33" t="s">
        <v>132</v>
      </c>
      <c r="F40" s="33" t="s">
        <v>113</v>
      </c>
      <c r="G40" s="33" t="s">
        <v>114</v>
      </c>
      <c r="H40" s="36"/>
      <c r="I40" s="36"/>
    </row>
    <row r="41" spans="1:9">
      <c r="A41" s="33" t="s">
        <v>176</v>
      </c>
      <c r="B41" s="34">
        <v>4134</v>
      </c>
      <c r="C41" s="34">
        <v>1026</v>
      </c>
      <c r="D41" s="42"/>
      <c r="E41" s="33" t="s">
        <v>132</v>
      </c>
      <c r="F41" s="33" t="s">
        <v>113</v>
      </c>
      <c r="G41" s="33" t="s">
        <v>114</v>
      </c>
      <c r="H41" s="36"/>
      <c r="I41" s="36"/>
    </row>
    <row r="42" spans="1:9">
      <c r="A42" s="33" t="s">
        <v>177</v>
      </c>
      <c r="B42" s="34">
        <v>4135</v>
      </c>
      <c r="C42" s="34">
        <v>1027</v>
      </c>
      <c r="D42" s="42"/>
      <c r="E42" s="33" t="s">
        <v>132</v>
      </c>
      <c r="F42" s="33" t="s">
        <v>113</v>
      </c>
      <c r="G42" s="33" t="s">
        <v>114</v>
      </c>
      <c r="H42" s="36"/>
      <c r="I42" s="36"/>
    </row>
    <row r="43" spans="1:9">
      <c r="A43" s="33" t="s">
        <v>178</v>
      </c>
      <c r="B43" s="34">
        <v>4136</v>
      </c>
      <c r="C43" s="34">
        <v>1028</v>
      </c>
      <c r="D43" s="42"/>
      <c r="E43" s="33" t="s">
        <v>132</v>
      </c>
      <c r="F43" s="33" t="s">
        <v>113</v>
      </c>
      <c r="G43" s="33" t="s">
        <v>114</v>
      </c>
      <c r="H43" s="36"/>
      <c r="I43" s="36"/>
    </row>
    <row r="44" spans="1:9">
      <c r="A44" s="33" t="s">
        <v>179</v>
      </c>
      <c r="B44" s="34">
        <v>4137</v>
      </c>
      <c r="C44" s="34">
        <v>1029</v>
      </c>
      <c r="D44" s="42"/>
      <c r="E44" s="33" t="s">
        <v>132</v>
      </c>
      <c r="F44" s="33" t="s">
        <v>113</v>
      </c>
      <c r="G44" s="33" t="s">
        <v>114</v>
      </c>
      <c r="H44" s="36"/>
      <c r="I44" s="36"/>
    </row>
    <row r="45" spans="1:9">
      <c r="A45" s="33" t="s">
        <v>180</v>
      </c>
      <c r="B45" s="34">
        <v>4138</v>
      </c>
      <c r="C45" s="34" t="s">
        <v>648</v>
      </c>
      <c r="D45" s="42"/>
      <c r="E45" s="33" t="s">
        <v>132</v>
      </c>
      <c r="F45" s="33" t="s">
        <v>113</v>
      </c>
      <c r="G45" s="33" t="s">
        <v>114</v>
      </c>
      <c r="H45" s="36"/>
      <c r="I45" s="36"/>
    </row>
    <row r="46" spans="1:7">
      <c r="A46" s="33" t="s">
        <v>181</v>
      </c>
      <c r="B46" s="34">
        <v>4139</v>
      </c>
      <c r="C46" s="34" t="s">
        <v>649</v>
      </c>
      <c r="D46" s="42"/>
      <c r="E46" s="33" t="s">
        <v>132</v>
      </c>
      <c r="F46" s="33" t="s">
        <v>113</v>
      </c>
      <c r="G46" s="33" t="s">
        <v>114</v>
      </c>
    </row>
    <row r="47" spans="1:7">
      <c r="A47" s="33" t="s">
        <v>182</v>
      </c>
      <c r="B47" s="34">
        <v>4140</v>
      </c>
      <c r="C47" s="34" t="s">
        <v>650</v>
      </c>
      <c r="D47" s="42"/>
      <c r="E47" s="33" t="s">
        <v>132</v>
      </c>
      <c r="F47" s="33" t="s">
        <v>113</v>
      </c>
      <c r="G47" s="33" t="s">
        <v>114</v>
      </c>
    </row>
    <row r="48" spans="1:7">
      <c r="A48" s="33" t="s">
        <v>183</v>
      </c>
      <c r="B48" s="34">
        <v>4141</v>
      </c>
      <c r="C48" s="34" t="s">
        <v>651</v>
      </c>
      <c r="D48" s="42"/>
      <c r="E48" s="33" t="s">
        <v>132</v>
      </c>
      <c r="F48" s="33" t="s">
        <v>113</v>
      </c>
      <c r="G48" s="33" t="s">
        <v>114</v>
      </c>
    </row>
    <row r="49" spans="1:7">
      <c r="A49" s="33" t="s">
        <v>184</v>
      </c>
      <c r="B49" s="34">
        <v>4142</v>
      </c>
      <c r="C49" s="34" t="s">
        <v>652</v>
      </c>
      <c r="D49" s="42"/>
      <c r="E49" s="33" t="s">
        <v>132</v>
      </c>
      <c r="F49" s="33" t="s">
        <v>113</v>
      </c>
      <c r="G49" s="33" t="s">
        <v>114</v>
      </c>
    </row>
    <row r="50" spans="5:5">
      <c r="E50" s="33"/>
    </row>
    <row r="51" spans="5:5">
      <c r="E51" s="33"/>
    </row>
    <row r="52" spans="5:5">
      <c r="E52" s="33"/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9"/>
  <dimension ref="A1:K26"/>
  <sheetViews>
    <sheetView workbookViewId="0">
      <selection activeCell="G17" sqref="G17"/>
    </sheetView>
  </sheetViews>
  <sheetFormatPr defaultColWidth="8.81818181818182" defaultRowHeight="14"/>
  <cols>
    <col min="1" max="2" width="8.55454545454545" customWidth="1"/>
    <col min="3" max="3" width="23.2636363636364" customWidth="1"/>
    <col min="4" max="4" width="39.8181818181818" style="39" customWidth="1"/>
    <col min="5" max="5" width="18.1818181818182" customWidth="1"/>
    <col min="6" max="6" width="20.3545454545455" customWidth="1"/>
    <col min="7" max="7" width="18.1818181818182" customWidth="1"/>
    <col min="8" max="8" width="15.3545454545455" customWidth="1"/>
    <col min="9" max="9" width="28.5454545454545" customWidth="1"/>
    <col min="10" max="10" width="7.55454545454545" customWidth="1"/>
    <col min="11" max="16384" width="8.81818181818182" customWidth="1"/>
  </cols>
  <sheetData>
    <row r="1" customFormat="1" spans="1:11">
      <c r="A1" s="33" t="s">
        <v>99</v>
      </c>
      <c r="B1" s="33" t="s">
        <v>100</v>
      </c>
      <c r="C1" s="33" t="s">
        <v>101</v>
      </c>
      <c r="D1" s="33" t="s">
        <v>102</v>
      </c>
      <c r="E1" s="33" t="s">
        <v>103</v>
      </c>
      <c r="F1" s="33" t="s">
        <v>104</v>
      </c>
      <c r="G1" s="34" t="s">
        <v>105</v>
      </c>
      <c r="H1" s="33" t="s">
        <v>106</v>
      </c>
      <c r="I1" s="33" t="s">
        <v>107</v>
      </c>
      <c r="J1" s="33" t="s">
        <v>108</v>
      </c>
      <c r="K1" s="33" t="s">
        <v>109</v>
      </c>
    </row>
    <row r="2" s="34" customFormat="1" spans="2:4">
      <c r="B2" s="34">
        <f>HEX2DEC(C2)</f>
        <v>4352</v>
      </c>
      <c r="C2" s="34">
        <v>1100</v>
      </c>
      <c r="D2" s="39"/>
    </row>
    <row r="3" s="34" customFormat="1" ht="28" spans="1:9">
      <c r="A3" s="34">
        <v>1</v>
      </c>
      <c r="B3" s="34">
        <f>$B$2+A3-1</f>
        <v>4352</v>
      </c>
      <c r="C3" s="34" t="str">
        <f t="shared" ref="C3:C21" si="0">DEC2HEX(B3,4)</f>
        <v>1100</v>
      </c>
      <c r="D3" s="39"/>
      <c r="E3" s="34" t="s">
        <v>112</v>
      </c>
      <c r="F3" s="34" t="s">
        <v>653</v>
      </c>
      <c r="I3" s="59" t="s">
        <v>654</v>
      </c>
    </row>
    <row r="4" s="34" customFormat="1" ht="196" spans="1:9">
      <c r="A4" s="34">
        <v>2</v>
      </c>
      <c r="B4" s="34">
        <f>$B$2+A4-1</f>
        <v>4353</v>
      </c>
      <c r="C4" s="34" t="str">
        <f t="shared" si="0"/>
        <v>1101</v>
      </c>
      <c r="D4" s="39"/>
      <c r="E4" s="34" t="s">
        <v>112</v>
      </c>
      <c r="F4" s="6" t="s">
        <v>655</v>
      </c>
      <c r="G4" s="6" t="s">
        <v>656</v>
      </c>
      <c r="H4" s="6"/>
      <c r="I4" s="28" t="s">
        <v>657</v>
      </c>
    </row>
    <row r="5" s="34" customFormat="1" spans="1:9">
      <c r="A5" s="34">
        <v>3</v>
      </c>
      <c r="B5" s="34">
        <f>$B$2+A5-1</f>
        <v>4354</v>
      </c>
      <c r="C5" s="34" t="str">
        <f t="shared" si="0"/>
        <v>1102</v>
      </c>
      <c r="D5" s="39"/>
      <c r="E5" s="34" t="s">
        <v>112</v>
      </c>
      <c r="F5" s="6" t="s">
        <v>658</v>
      </c>
      <c r="G5" s="6"/>
      <c r="H5" s="55">
        <v>0.0001</v>
      </c>
      <c r="I5" s="6"/>
    </row>
    <row r="6" s="34" customFormat="1" spans="1:9">
      <c r="A6" s="34">
        <v>4</v>
      </c>
      <c r="B6" s="34">
        <f>$B$2+A6-1</f>
        <v>4355</v>
      </c>
      <c r="C6" s="34" t="str">
        <f t="shared" si="0"/>
        <v>1103</v>
      </c>
      <c r="D6" s="39"/>
      <c r="E6" s="34" t="s">
        <v>112</v>
      </c>
      <c r="F6" s="6" t="s">
        <v>659</v>
      </c>
      <c r="G6" s="6"/>
      <c r="H6" s="55">
        <v>0.0001</v>
      </c>
      <c r="I6" s="6"/>
    </row>
    <row r="7" s="34" customFormat="1" spans="1:9">
      <c r="A7" s="34">
        <v>5</v>
      </c>
      <c r="B7" s="34">
        <f>$B$2+A7-1</f>
        <v>4356</v>
      </c>
      <c r="C7" s="34" t="str">
        <f t="shared" si="0"/>
        <v>1104</v>
      </c>
      <c r="D7" s="39"/>
      <c r="E7" s="34" t="s">
        <v>112</v>
      </c>
      <c r="F7" s="6" t="s">
        <v>660</v>
      </c>
      <c r="G7" s="6"/>
      <c r="H7" s="55">
        <v>0.0001</v>
      </c>
      <c r="I7" s="6"/>
    </row>
    <row r="8" s="34" customFormat="1" spans="1:9">
      <c r="A8" s="34">
        <v>6</v>
      </c>
      <c r="B8" s="34">
        <f>$B$2+A8-1</f>
        <v>4357</v>
      </c>
      <c r="C8" s="34" t="str">
        <f t="shared" si="0"/>
        <v>1105</v>
      </c>
      <c r="D8" s="39"/>
      <c r="E8" s="34" t="s">
        <v>112</v>
      </c>
      <c r="F8" s="6" t="s">
        <v>661</v>
      </c>
      <c r="G8" s="6"/>
      <c r="H8" s="55">
        <v>0.0001</v>
      </c>
      <c r="I8" s="6"/>
    </row>
    <row r="9" s="34" customFormat="1" ht="42" spans="1:9">
      <c r="A9" s="34">
        <v>7</v>
      </c>
      <c r="B9" s="34">
        <f>$B$2+A9-1</f>
        <v>4358</v>
      </c>
      <c r="C9" s="34" t="str">
        <f t="shared" si="0"/>
        <v>1106</v>
      </c>
      <c r="D9" s="39"/>
      <c r="E9" s="34" t="s">
        <v>112</v>
      </c>
      <c r="F9" s="34" t="s">
        <v>662</v>
      </c>
      <c r="I9" s="59" t="s">
        <v>663</v>
      </c>
    </row>
    <row r="10" s="34" customFormat="1" ht="42" spans="1:9">
      <c r="A10" s="34">
        <v>8</v>
      </c>
      <c r="B10" s="34">
        <f>$B$2+A10-1</f>
        <v>4359</v>
      </c>
      <c r="C10" s="34" t="str">
        <f t="shared" si="0"/>
        <v>1107</v>
      </c>
      <c r="D10" s="39"/>
      <c r="E10" s="34" t="s">
        <v>112</v>
      </c>
      <c r="F10" s="34" t="s">
        <v>664</v>
      </c>
      <c r="I10" s="59" t="s">
        <v>663</v>
      </c>
    </row>
    <row r="11" s="34" customFormat="1" spans="1:8">
      <c r="A11" s="34">
        <v>9</v>
      </c>
      <c r="B11" s="34">
        <f>$B$2+A11-1</f>
        <v>4360</v>
      </c>
      <c r="C11" s="34" t="str">
        <f t="shared" si="0"/>
        <v>1108</v>
      </c>
      <c r="D11" s="39"/>
      <c r="E11" s="34" t="s">
        <v>112</v>
      </c>
      <c r="F11" s="34" t="s">
        <v>665</v>
      </c>
      <c r="H11" s="34" t="s">
        <v>299</v>
      </c>
    </row>
    <row r="12" s="34" customFormat="1" spans="1:6">
      <c r="A12" s="34">
        <v>10</v>
      </c>
      <c r="B12" s="34">
        <f>$B$2+A12-1</f>
        <v>4361</v>
      </c>
      <c r="C12" s="34" t="str">
        <f t="shared" si="0"/>
        <v>1109</v>
      </c>
      <c r="D12" s="39"/>
      <c r="E12" s="34" t="s">
        <v>112</v>
      </c>
      <c r="F12" s="34" t="s">
        <v>666</v>
      </c>
    </row>
    <row r="13" s="34" customFormat="1" spans="1:6">
      <c r="A13" s="34">
        <v>11</v>
      </c>
      <c r="B13" s="34">
        <f>$B$2+A13-1</f>
        <v>4362</v>
      </c>
      <c r="C13" s="34" t="str">
        <f t="shared" si="0"/>
        <v>110A</v>
      </c>
      <c r="D13" s="39"/>
      <c r="E13" s="34" t="s">
        <v>112</v>
      </c>
      <c r="F13" s="34" t="s">
        <v>667</v>
      </c>
    </row>
    <row r="14" s="34" customFormat="1" ht="56" spans="1:9">
      <c r="A14" s="34">
        <v>12</v>
      </c>
      <c r="B14" s="34">
        <f>$B$2+A14-1</f>
        <v>4363</v>
      </c>
      <c r="C14" s="34" t="str">
        <f t="shared" si="0"/>
        <v>110B</v>
      </c>
      <c r="D14" s="39"/>
      <c r="E14" s="34" t="s">
        <v>112</v>
      </c>
      <c r="F14" s="56" t="s">
        <v>668</v>
      </c>
      <c r="I14" s="59" t="s">
        <v>669</v>
      </c>
    </row>
    <row r="15" s="34" customFormat="1" ht="84" spans="1:9">
      <c r="A15" s="57">
        <v>13</v>
      </c>
      <c r="B15" s="57">
        <f>$B$2+A15-1</f>
        <v>4364</v>
      </c>
      <c r="C15" s="57" t="str">
        <f t="shared" si="0"/>
        <v>110C</v>
      </c>
      <c r="D15" s="58"/>
      <c r="E15" s="57" t="s">
        <v>112</v>
      </c>
      <c r="F15" s="57" t="s">
        <v>670</v>
      </c>
      <c r="G15" s="57"/>
      <c r="H15" s="57"/>
      <c r="I15" s="60" t="s">
        <v>671</v>
      </c>
    </row>
    <row r="16" s="34" customFormat="1" spans="1:4">
      <c r="A16" s="34">
        <v>14</v>
      </c>
      <c r="B16" s="34">
        <f>$B$2+A16-1</f>
        <v>4365</v>
      </c>
      <c r="C16" s="34" t="str">
        <f t="shared" si="0"/>
        <v>110D</v>
      </c>
      <c r="D16" s="39"/>
    </row>
    <row r="17" s="34" customFormat="1" spans="1:4">
      <c r="A17" s="34">
        <v>15</v>
      </c>
      <c r="B17" s="34">
        <f>$B$2+A17-1</f>
        <v>4366</v>
      </c>
      <c r="C17" s="34" t="str">
        <f t="shared" si="0"/>
        <v>110E</v>
      </c>
      <c r="D17" s="39"/>
    </row>
    <row r="18" s="34" customFormat="1" spans="1:4">
      <c r="A18" s="34">
        <v>16</v>
      </c>
      <c r="B18" s="34">
        <f>$B$2+A18-1</f>
        <v>4367</v>
      </c>
      <c r="C18" s="34" t="str">
        <f t="shared" si="0"/>
        <v>110F</v>
      </c>
      <c r="D18" s="39"/>
    </row>
    <row r="19" s="34" customFormat="1" spans="1:4">
      <c r="A19" s="34">
        <v>17</v>
      </c>
      <c r="B19" s="34">
        <f>$B$2+A19-1</f>
        <v>4368</v>
      </c>
      <c r="C19" s="34" t="str">
        <f t="shared" si="0"/>
        <v>1110</v>
      </c>
      <c r="D19" s="39"/>
    </row>
    <row r="20" s="34" customFormat="1" spans="1:4">
      <c r="A20" s="34">
        <v>18</v>
      </c>
      <c r="B20" s="34">
        <f>$B$2+A20-1</f>
        <v>4369</v>
      </c>
      <c r="C20" s="34" t="str">
        <f t="shared" si="0"/>
        <v>1111</v>
      </c>
      <c r="D20" s="39"/>
    </row>
    <row r="21" s="34" customFormat="1" spans="1:4">
      <c r="A21" s="34">
        <v>19</v>
      </c>
      <c r="B21" s="34">
        <f>$B$2+A21-1</f>
        <v>4370</v>
      </c>
      <c r="C21" s="34" t="str">
        <f t="shared" si="0"/>
        <v>1112</v>
      </c>
      <c r="D21" s="39"/>
    </row>
    <row r="22" customFormat="1" spans="4:7">
      <c r="D22" s="39"/>
      <c r="G22" s="34"/>
    </row>
    <row r="23" customFormat="1" spans="4:7">
      <c r="D23" s="39"/>
      <c r="G23" s="34"/>
    </row>
    <row r="24" customFormat="1" spans="4:7">
      <c r="D24" s="39"/>
      <c r="G24" s="34"/>
    </row>
    <row r="25" customFormat="1" spans="4:7">
      <c r="D25" s="39"/>
      <c r="G25" s="34"/>
    </row>
    <row r="26" customFormat="1" spans="4:7">
      <c r="D26" s="39"/>
      <c r="G26" s="34"/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94"/>
  <sheetViews>
    <sheetView zoomScale="115" zoomScaleNormal="115" workbookViewId="0">
      <selection activeCell="O26" sqref="O26"/>
    </sheetView>
  </sheetViews>
  <sheetFormatPr defaultColWidth="8.73636363636364" defaultRowHeight="14"/>
  <cols>
    <col min="2" max="2" width="13.1818181818182" customWidth="1"/>
    <col min="6" max="7" width="26.2636363636364" customWidth="1"/>
    <col min="9" max="9" width="17.4545454545455" customWidth="1"/>
    <col min="12" max="12" width="8.73636363636364" style="42"/>
    <col min="13" max="13" width="8.73636363636364" style="33"/>
    <col min="14" max="14" width="14.2545454545455" style="33" customWidth="1"/>
    <col min="15" max="15" width="14.6818181818182" customWidth="1"/>
    <col min="16" max="16" width="12" style="34" customWidth="1"/>
    <col min="17" max="17" width="13.8181818181818" customWidth="1"/>
  </cols>
  <sheetData>
    <row r="1" spans="1:17">
      <c r="A1" s="33" t="s">
        <v>99</v>
      </c>
      <c r="B1" s="33" t="s">
        <v>100</v>
      </c>
      <c r="C1" s="33" t="s">
        <v>101</v>
      </c>
      <c r="D1" s="33" t="s">
        <v>102</v>
      </c>
      <c r="E1" s="33" t="s">
        <v>103</v>
      </c>
      <c r="F1" s="33" t="s">
        <v>104</v>
      </c>
      <c r="G1" s="34" t="s">
        <v>105</v>
      </c>
      <c r="H1" s="33" t="s">
        <v>106</v>
      </c>
      <c r="I1" s="33" t="s">
        <v>107</v>
      </c>
      <c r="J1" s="33" t="s">
        <v>108</v>
      </c>
      <c r="K1" s="33" t="s">
        <v>109</v>
      </c>
      <c r="M1" s="43" t="s">
        <v>672</v>
      </c>
      <c r="N1" s="43"/>
      <c r="O1" s="43"/>
      <c r="P1" s="43"/>
      <c r="Q1" s="51"/>
    </row>
    <row r="2" spans="1:17">
      <c r="A2" s="33"/>
      <c r="B2" s="33">
        <f>HEX2DEC(C2)</f>
        <v>4608</v>
      </c>
      <c r="C2" s="33" t="s">
        <v>673</v>
      </c>
      <c r="D2" s="33"/>
      <c r="E2" s="33"/>
      <c r="F2" s="33" t="s">
        <v>674</v>
      </c>
      <c r="G2" s="33"/>
      <c r="H2" s="35"/>
      <c r="I2" s="35"/>
      <c r="K2" s="44"/>
      <c r="M2" s="45" t="s">
        <v>675</v>
      </c>
      <c r="N2" s="45" t="s">
        <v>676</v>
      </c>
      <c r="O2" s="45" t="s">
        <v>677</v>
      </c>
      <c r="P2" s="46" t="s">
        <v>678</v>
      </c>
      <c r="Q2" s="46" t="s">
        <v>679</v>
      </c>
    </row>
    <row r="3" spans="1:17">
      <c r="A3" s="33">
        <v>1</v>
      </c>
      <c r="B3" s="34">
        <f>$B$2+A3-1</f>
        <v>4608</v>
      </c>
      <c r="C3" s="34" t="str">
        <f t="shared" ref="C3:C52" si="0">DEC2HEX(B3,4)</f>
        <v>1200</v>
      </c>
      <c r="D3" s="33"/>
      <c r="E3" s="33" t="s">
        <v>112</v>
      </c>
      <c r="F3" s="1" t="s">
        <v>680</v>
      </c>
      <c r="G3" s="33"/>
      <c r="H3" s="35" t="s">
        <v>681</v>
      </c>
      <c r="I3" s="35"/>
      <c r="K3" s="44"/>
      <c r="M3" s="45">
        <v>1</v>
      </c>
      <c r="N3" s="45" t="s">
        <v>682</v>
      </c>
      <c r="O3" s="47" t="s">
        <v>683</v>
      </c>
      <c r="P3" s="46" t="s">
        <v>232</v>
      </c>
      <c r="Q3" s="46" t="s">
        <v>409</v>
      </c>
    </row>
    <row r="4" ht="42" spans="1:17">
      <c r="A4" s="33">
        <v>2</v>
      </c>
      <c r="B4" s="34">
        <f>$B$2+A4-1</f>
        <v>4609</v>
      </c>
      <c r="C4" s="34" t="str">
        <f t="shared" si="0"/>
        <v>1201</v>
      </c>
      <c r="D4" s="33"/>
      <c r="E4" s="33" t="s">
        <v>112</v>
      </c>
      <c r="F4" s="1" t="s">
        <v>684</v>
      </c>
      <c r="H4" s="35" t="s">
        <v>681</v>
      </c>
      <c r="I4" s="40" t="s">
        <v>685</v>
      </c>
      <c r="K4" s="44"/>
      <c r="M4" s="45">
        <v>2</v>
      </c>
      <c r="N4" s="45" t="s">
        <v>686</v>
      </c>
      <c r="O4" s="47" t="s">
        <v>687</v>
      </c>
      <c r="P4" s="46" t="s">
        <v>234</v>
      </c>
      <c r="Q4" s="46" t="s">
        <v>688</v>
      </c>
    </row>
    <row r="5" spans="1:17">
      <c r="A5" s="33">
        <v>3</v>
      </c>
      <c r="B5" s="34">
        <f>$B$2+A5-1</f>
        <v>4610</v>
      </c>
      <c r="C5" s="34" t="str">
        <f t="shared" si="0"/>
        <v>1202</v>
      </c>
      <c r="D5" s="33"/>
      <c r="E5" s="33" t="s">
        <v>112</v>
      </c>
      <c r="F5" s="1" t="s">
        <v>689</v>
      </c>
      <c r="H5" s="35" t="s">
        <v>231</v>
      </c>
      <c r="I5" s="35"/>
      <c r="K5" s="44"/>
      <c r="M5" s="45">
        <v>3</v>
      </c>
      <c r="N5" s="45" t="s">
        <v>690</v>
      </c>
      <c r="O5" s="47" t="s">
        <v>691</v>
      </c>
      <c r="P5" s="46" t="s">
        <v>238</v>
      </c>
      <c r="Q5" s="46" t="s">
        <v>88</v>
      </c>
    </row>
    <row r="6" spans="1:17">
      <c r="A6" s="33">
        <v>4</v>
      </c>
      <c r="B6" s="34">
        <f>$B$2+A6-1</f>
        <v>4611</v>
      </c>
      <c r="C6" s="34" t="str">
        <f t="shared" si="0"/>
        <v>1203</v>
      </c>
      <c r="D6" s="33"/>
      <c r="E6" s="33" t="s">
        <v>112</v>
      </c>
      <c r="F6" s="1" t="s">
        <v>692</v>
      </c>
      <c r="H6" s="35" t="s">
        <v>231</v>
      </c>
      <c r="I6" s="35"/>
      <c r="K6" s="44"/>
      <c r="M6" s="45">
        <v>4</v>
      </c>
      <c r="N6" s="45" t="s">
        <v>693</v>
      </c>
      <c r="O6" s="47" t="s">
        <v>694</v>
      </c>
      <c r="P6" s="46" t="s">
        <v>234</v>
      </c>
      <c r="Q6" s="46" t="s">
        <v>88</v>
      </c>
    </row>
    <row r="7" spans="1:17">
      <c r="A7" s="33">
        <v>5</v>
      </c>
      <c r="B7" s="34">
        <f>$B$2+A7-1</f>
        <v>4612</v>
      </c>
      <c r="C7" s="34" t="str">
        <f t="shared" si="0"/>
        <v>1204</v>
      </c>
      <c r="D7" s="33"/>
      <c r="E7" s="33" t="s">
        <v>112</v>
      </c>
      <c r="F7" s="1" t="s">
        <v>695</v>
      </c>
      <c r="H7" s="35" t="s">
        <v>231</v>
      </c>
      <c r="I7" s="35"/>
      <c r="K7" s="44"/>
      <c r="M7" s="45">
        <v>5</v>
      </c>
      <c r="N7" s="45" t="s">
        <v>696</v>
      </c>
      <c r="O7" s="47" t="s">
        <v>697</v>
      </c>
      <c r="P7" s="46" t="s">
        <v>232</v>
      </c>
      <c r="Q7" s="46">
        <v>2000</v>
      </c>
    </row>
    <row r="8" spans="1:17">
      <c r="A8" s="33">
        <v>6</v>
      </c>
      <c r="B8" s="34">
        <f>$B$2+A8-1</f>
        <v>4613</v>
      </c>
      <c r="C8" s="34" t="str">
        <f t="shared" si="0"/>
        <v>1205</v>
      </c>
      <c r="D8" s="33"/>
      <c r="E8" s="33" t="s">
        <v>112</v>
      </c>
      <c r="F8" s="1" t="s">
        <v>698</v>
      </c>
      <c r="H8" s="35" t="s">
        <v>231</v>
      </c>
      <c r="I8" s="35"/>
      <c r="K8" s="44"/>
      <c r="M8" s="45">
        <v>6</v>
      </c>
      <c r="N8" s="45" t="s">
        <v>699</v>
      </c>
      <c r="O8" s="47" t="s">
        <v>700</v>
      </c>
      <c r="P8" s="46" t="s">
        <v>234</v>
      </c>
      <c r="Q8" s="46">
        <v>2001</v>
      </c>
    </row>
    <row r="9" spans="1:17">
      <c r="A9" s="33">
        <v>7</v>
      </c>
      <c r="B9" s="34">
        <f>$B$2+A9-1</f>
        <v>4614</v>
      </c>
      <c r="C9" s="34" t="str">
        <f t="shared" si="0"/>
        <v>1206</v>
      </c>
      <c r="D9" s="33"/>
      <c r="E9" s="33"/>
      <c r="F9" s="33" t="s">
        <v>123</v>
      </c>
      <c r="G9" s="33"/>
      <c r="H9" s="35"/>
      <c r="I9" s="35"/>
      <c r="K9" s="44"/>
      <c r="M9" s="45">
        <v>7</v>
      </c>
      <c r="N9" s="45" t="s">
        <v>701</v>
      </c>
      <c r="O9" s="47" t="s">
        <v>702</v>
      </c>
      <c r="P9" s="46" t="s">
        <v>238</v>
      </c>
      <c r="Q9" s="46" t="s">
        <v>88</v>
      </c>
    </row>
    <row r="10" spans="1:17">
      <c r="A10" s="33">
        <v>8</v>
      </c>
      <c r="B10" s="34">
        <f>$B$2+A10-1</f>
        <v>4615</v>
      </c>
      <c r="C10" s="34" t="str">
        <f t="shared" si="0"/>
        <v>1207</v>
      </c>
      <c r="D10" s="33"/>
      <c r="E10" s="33"/>
      <c r="F10" s="33" t="s">
        <v>123</v>
      </c>
      <c r="G10" s="33"/>
      <c r="H10" s="35"/>
      <c r="I10" s="35"/>
      <c r="K10" s="44"/>
      <c r="M10" s="45">
        <v>8</v>
      </c>
      <c r="N10" s="45" t="s">
        <v>703</v>
      </c>
      <c r="O10" s="47" t="s">
        <v>704</v>
      </c>
      <c r="P10" s="46" t="s">
        <v>232</v>
      </c>
      <c r="Q10" s="46" t="s">
        <v>705</v>
      </c>
    </row>
    <row r="11" ht="42" spans="1:17">
      <c r="A11" s="33">
        <v>9</v>
      </c>
      <c r="B11" s="34">
        <f>$B$2+A11-1</f>
        <v>4616</v>
      </c>
      <c r="C11" s="34" t="str">
        <f t="shared" si="0"/>
        <v>1208</v>
      </c>
      <c r="D11" s="33"/>
      <c r="E11" s="33" t="s">
        <v>112</v>
      </c>
      <c r="F11" s="33" t="s">
        <v>706</v>
      </c>
      <c r="G11" s="33"/>
      <c r="H11" s="35" t="s">
        <v>231</v>
      </c>
      <c r="I11" s="36" t="s">
        <v>707</v>
      </c>
      <c r="K11" s="44"/>
      <c r="M11" s="45">
        <v>9</v>
      </c>
      <c r="N11" s="45" t="s">
        <v>708</v>
      </c>
      <c r="O11" s="47" t="s">
        <v>709</v>
      </c>
      <c r="P11" s="46" t="s">
        <v>556</v>
      </c>
      <c r="Q11" s="46" t="s">
        <v>710</v>
      </c>
    </row>
    <row r="12" spans="1:17">
      <c r="A12" s="33">
        <v>10</v>
      </c>
      <c r="B12" s="34">
        <f>$B$2+A12-1</f>
        <v>4617</v>
      </c>
      <c r="C12" s="34" t="str">
        <f t="shared" si="0"/>
        <v>1209</v>
      </c>
      <c r="D12" s="33"/>
      <c r="E12" s="33" t="s">
        <v>112</v>
      </c>
      <c r="F12" s="33" t="s">
        <v>711</v>
      </c>
      <c r="G12" s="33"/>
      <c r="H12" s="35" t="s">
        <v>231</v>
      </c>
      <c r="I12" s="35"/>
      <c r="K12" s="44"/>
      <c r="M12" s="45">
        <v>10</v>
      </c>
      <c r="N12" s="45" t="s">
        <v>712</v>
      </c>
      <c r="O12" s="47" t="s">
        <v>713</v>
      </c>
      <c r="P12" s="46" t="s">
        <v>234</v>
      </c>
      <c r="Q12" s="46" t="s">
        <v>714</v>
      </c>
    </row>
    <row r="13" spans="1:17">
      <c r="A13" s="33">
        <v>11</v>
      </c>
      <c r="B13" s="34">
        <f>$B$2+A13-1</f>
        <v>4618</v>
      </c>
      <c r="C13" s="34" t="str">
        <f t="shared" si="0"/>
        <v>120A</v>
      </c>
      <c r="D13" s="33"/>
      <c r="E13" s="33" t="s">
        <v>112</v>
      </c>
      <c r="F13" s="33" t="s">
        <v>715</v>
      </c>
      <c r="G13" s="33"/>
      <c r="H13" s="35" t="s">
        <v>231</v>
      </c>
      <c r="I13" s="35"/>
      <c r="K13" s="44"/>
      <c r="M13" s="45">
        <v>11</v>
      </c>
      <c r="N13" s="45" t="s">
        <v>716</v>
      </c>
      <c r="O13" s="47" t="s">
        <v>717</v>
      </c>
      <c r="P13" s="46" t="s">
        <v>234</v>
      </c>
      <c r="Q13" s="46" t="s">
        <v>88</v>
      </c>
    </row>
    <row r="14" spans="1:17">
      <c r="A14" s="33">
        <v>12</v>
      </c>
      <c r="B14" s="34">
        <f>$B$2+A14-1</f>
        <v>4619</v>
      </c>
      <c r="C14" s="34" t="str">
        <f t="shared" si="0"/>
        <v>120B</v>
      </c>
      <c r="D14" s="33"/>
      <c r="E14" s="33" t="s">
        <v>112</v>
      </c>
      <c r="F14" s="33" t="s">
        <v>718</v>
      </c>
      <c r="G14" s="33"/>
      <c r="H14" s="35" t="s">
        <v>231</v>
      </c>
      <c r="I14" s="35"/>
      <c r="K14" s="44"/>
      <c r="M14" s="45">
        <v>12</v>
      </c>
      <c r="N14" s="45" t="s">
        <v>719</v>
      </c>
      <c r="O14" s="47" t="s">
        <v>720</v>
      </c>
      <c r="P14" s="46" t="s">
        <v>238</v>
      </c>
      <c r="Q14" s="46" t="s">
        <v>88</v>
      </c>
    </row>
    <row r="15" spans="1:17">
      <c r="A15" s="33">
        <v>13</v>
      </c>
      <c r="B15" s="34">
        <f>$B$2+A15-1</f>
        <v>4620</v>
      </c>
      <c r="C15" s="34" t="str">
        <f t="shared" si="0"/>
        <v>120C</v>
      </c>
      <c r="D15" s="33"/>
      <c r="E15" s="33" t="s">
        <v>112</v>
      </c>
      <c r="F15" s="33" t="s">
        <v>721</v>
      </c>
      <c r="G15" s="33"/>
      <c r="H15" s="35" t="s">
        <v>231</v>
      </c>
      <c r="I15" s="35"/>
      <c r="K15" s="44"/>
      <c r="M15" s="45">
        <v>13</v>
      </c>
      <c r="N15" s="45" t="s">
        <v>722</v>
      </c>
      <c r="O15" s="47" t="s">
        <v>723</v>
      </c>
      <c r="P15" s="46" t="s">
        <v>238</v>
      </c>
      <c r="Q15" s="46" t="s">
        <v>88</v>
      </c>
    </row>
    <row r="16" spans="1:17">
      <c r="A16" s="33">
        <v>14</v>
      </c>
      <c r="B16" s="34">
        <f>$B$2+A16-1</f>
        <v>4621</v>
      </c>
      <c r="C16" s="34" t="str">
        <f t="shared" si="0"/>
        <v>120D</v>
      </c>
      <c r="D16" s="33"/>
      <c r="E16" s="33" t="s">
        <v>112</v>
      </c>
      <c r="F16" s="33" t="s">
        <v>724</v>
      </c>
      <c r="G16" s="33"/>
      <c r="H16" s="35" t="s">
        <v>231</v>
      </c>
      <c r="I16" s="35"/>
      <c r="K16" s="44"/>
      <c r="M16" s="45">
        <v>14</v>
      </c>
      <c r="N16" s="45" t="s">
        <v>725</v>
      </c>
      <c r="O16" s="47" t="s">
        <v>726</v>
      </c>
      <c r="P16" s="46" t="s">
        <v>232</v>
      </c>
      <c r="Q16" s="46" t="s">
        <v>727</v>
      </c>
    </row>
    <row r="17" spans="1:17">
      <c r="A17" s="33">
        <v>15</v>
      </c>
      <c r="B17" s="34">
        <f>$B$2+A17-1</f>
        <v>4622</v>
      </c>
      <c r="C17" s="34" t="str">
        <f t="shared" si="0"/>
        <v>120E</v>
      </c>
      <c r="D17" s="33"/>
      <c r="E17" s="33" t="s">
        <v>112</v>
      </c>
      <c r="F17" s="33" t="s">
        <v>728</v>
      </c>
      <c r="G17" s="33"/>
      <c r="H17" s="35" t="s">
        <v>231</v>
      </c>
      <c r="I17" s="35"/>
      <c r="K17" s="44"/>
      <c r="M17" s="45">
        <v>15</v>
      </c>
      <c r="N17" s="45" t="s">
        <v>729</v>
      </c>
      <c r="O17" s="47" t="s">
        <v>730</v>
      </c>
      <c r="P17" s="46" t="s">
        <v>234</v>
      </c>
      <c r="Q17" s="46" t="s">
        <v>731</v>
      </c>
    </row>
    <row r="18" spans="1:17">
      <c r="A18" s="33">
        <v>16</v>
      </c>
      <c r="B18" s="34">
        <f>$B$2+A18-1</f>
        <v>4623</v>
      </c>
      <c r="C18" s="34" t="str">
        <f t="shared" si="0"/>
        <v>120F</v>
      </c>
      <c r="D18" s="33"/>
      <c r="E18" s="33" t="s">
        <v>112</v>
      </c>
      <c r="F18" s="33" t="s">
        <v>732</v>
      </c>
      <c r="G18" s="33"/>
      <c r="H18" s="35" t="s">
        <v>231</v>
      </c>
      <c r="I18" s="35"/>
      <c r="K18" s="44"/>
      <c r="M18" s="45">
        <v>16</v>
      </c>
      <c r="N18" s="45" t="s">
        <v>733</v>
      </c>
      <c r="O18" s="47" t="s">
        <v>734</v>
      </c>
      <c r="P18" s="46" t="s">
        <v>238</v>
      </c>
      <c r="Q18" s="46" t="s">
        <v>735</v>
      </c>
    </row>
    <row r="19" spans="1:17">
      <c r="A19" s="33">
        <v>17</v>
      </c>
      <c r="B19" s="34">
        <f>$B$2+A19-1</f>
        <v>4624</v>
      </c>
      <c r="C19" s="34" t="str">
        <f t="shared" si="0"/>
        <v>1210</v>
      </c>
      <c r="D19" s="33"/>
      <c r="E19" s="33"/>
      <c r="F19" s="33"/>
      <c r="G19" s="33"/>
      <c r="H19" s="35"/>
      <c r="I19" s="35"/>
      <c r="K19" s="44"/>
      <c r="M19" s="45">
        <v>17</v>
      </c>
      <c r="N19" s="45" t="s">
        <v>736</v>
      </c>
      <c r="O19" s="47" t="s">
        <v>321</v>
      </c>
      <c r="P19" s="46" t="s">
        <v>232</v>
      </c>
      <c r="Q19" s="46" t="s">
        <v>737</v>
      </c>
    </row>
    <row r="20" spans="1:17">
      <c r="A20" s="33">
        <v>18</v>
      </c>
      <c r="B20" s="34">
        <f>$B$2+A20-1</f>
        <v>4625</v>
      </c>
      <c r="C20" s="34" t="str">
        <f t="shared" si="0"/>
        <v>1211</v>
      </c>
      <c r="D20" s="33"/>
      <c r="E20" s="33"/>
      <c r="F20" s="33"/>
      <c r="G20" s="33"/>
      <c r="H20" s="35"/>
      <c r="I20" s="35"/>
      <c r="K20" s="44"/>
      <c r="M20" s="45">
        <v>18</v>
      </c>
      <c r="N20" s="45" t="s">
        <v>738</v>
      </c>
      <c r="O20" s="47" t="s">
        <v>323</v>
      </c>
      <c r="P20" s="46" t="s">
        <v>234</v>
      </c>
      <c r="Q20" s="46" t="s">
        <v>739</v>
      </c>
    </row>
    <row r="21" spans="1:17">
      <c r="A21" s="33">
        <v>19</v>
      </c>
      <c r="B21" s="34">
        <f>$B$2+A21-1</f>
        <v>4626</v>
      </c>
      <c r="C21" s="34" t="str">
        <f t="shared" si="0"/>
        <v>1212</v>
      </c>
      <c r="D21" s="33"/>
      <c r="E21" s="33"/>
      <c r="F21" s="33"/>
      <c r="G21" s="33"/>
      <c r="H21" s="35"/>
      <c r="I21" s="35"/>
      <c r="K21" s="44"/>
      <c r="M21" s="45">
        <v>19</v>
      </c>
      <c r="N21" s="45" t="s">
        <v>740</v>
      </c>
      <c r="O21" s="47" t="s">
        <v>325</v>
      </c>
      <c r="P21" s="46" t="s">
        <v>238</v>
      </c>
      <c r="Q21" s="46" t="s">
        <v>741</v>
      </c>
    </row>
    <row r="22" spans="1:17">
      <c r="A22" s="33">
        <v>20</v>
      </c>
      <c r="B22" s="34">
        <f>$B$2+A22-1</f>
        <v>4627</v>
      </c>
      <c r="C22" s="34" t="str">
        <f t="shared" si="0"/>
        <v>1213</v>
      </c>
      <c r="D22" s="33"/>
      <c r="E22" s="33"/>
      <c r="F22" s="33"/>
      <c r="G22" s="33"/>
      <c r="H22" s="35"/>
      <c r="I22" s="35"/>
      <c r="K22" s="44"/>
      <c r="M22" s="45">
        <v>20</v>
      </c>
      <c r="N22" s="45" t="s">
        <v>742</v>
      </c>
      <c r="O22" s="47" t="s">
        <v>326</v>
      </c>
      <c r="P22" s="46" t="s">
        <v>232</v>
      </c>
      <c r="Q22" s="46" t="s">
        <v>88</v>
      </c>
    </row>
    <row r="23" spans="1:17">
      <c r="A23" s="33">
        <v>21</v>
      </c>
      <c r="B23" s="34">
        <f>$B$2+A23-1</f>
        <v>4628</v>
      </c>
      <c r="C23" s="34" t="str">
        <f t="shared" si="0"/>
        <v>1214</v>
      </c>
      <c r="D23" s="33"/>
      <c r="E23" s="33"/>
      <c r="F23" s="33"/>
      <c r="G23" s="33"/>
      <c r="H23" s="35"/>
      <c r="I23" s="35"/>
      <c r="K23" s="44"/>
      <c r="M23" s="45">
        <v>21</v>
      </c>
      <c r="N23" s="45" t="s">
        <v>743</v>
      </c>
      <c r="O23" s="47" t="s">
        <v>328</v>
      </c>
      <c r="P23" s="46" t="s">
        <v>234</v>
      </c>
      <c r="Q23" s="46" t="s">
        <v>88</v>
      </c>
    </row>
    <row r="24" spans="1:17">
      <c r="A24" s="33">
        <v>22</v>
      </c>
      <c r="B24" s="34">
        <f>$B$2+A24-1</f>
        <v>4629</v>
      </c>
      <c r="C24" s="34" t="str">
        <f t="shared" si="0"/>
        <v>1215</v>
      </c>
      <c r="D24" s="33"/>
      <c r="E24" s="33"/>
      <c r="F24" s="33"/>
      <c r="G24" s="33"/>
      <c r="H24" s="35"/>
      <c r="I24" s="35"/>
      <c r="K24" s="44"/>
      <c r="M24" s="45">
        <v>22</v>
      </c>
      <c r="N24" s="45" t="s">
        <v>744</v>
      </c>
      <c r="O24" s="47" t="s">
        <v>330</v>
      </c>
      <c r="P24" s="46" t="s">
        <v>238</v>
      </c>
      <c r="Q24" s="46" t="s">
        <v>88</v>
      </c>
    </row>
    <row r="25" spans="1:17">
      <c r="A25" s="33">
        <v>23</v>
      </c>
      <c r="B25" s="34">
        <f>$B$2+A25-1</f>
        <v>4630</v>
      </c>
      <c r="C25" s="34" t="str">
        <f t="shared" si="0"/>
        <v>1216</v>
      </c>
      <c r="D25" s="33"/>
      <c r="E25" s="33"/>
      <c r="F25" s="33"/>
      <c r="G25" s="33"/>
      <c r="H25" s="35"/>
      <c r="I25" s="35"/>
      <c r="K25" s="44"/>
      <c r="M25" s="45">
        <v>23</v>
      </c>
      <c r="N25" s="45" t="s">
        <v>745</v>
      </c>
      <c r="O25" s="47" t="s">
        <v>746</v>
      </c>
      <c r="P25" s="46" t="s">
        <v>232</v>
      </c>
      <c r="Q25" s="46" t="s">
        <v>88</v>
      </c>
    </row>
    <row r="26" spans="1:17">
      <c r="A26" s="33">
        <v>24</v>
      </c>
      <c r="B26" s="34">
        <f>$B$2+A26-1</f>
        <v>4631</v>
      </c>
      <c r="C26" s="34" t="str">
        <f t="shared" si="0"/>
        <v>1217</v>
      </c>
      <c r="D26" s="33"/>
      <c r="E26" s="33"/>
      <c r="F26" s="33"/>
      <c r="G26" s="33"/>
      <c r="H26" s="35"/>
      <c r="I26" s="35"/>
      <c r="K26" s="44"/>
      <c r="M26" s="45">
        <v>24</v>
      </c>
      <c r="N26" s="45" t="s">
        <v>747</v>
      </c>
      <c r="O26" s="47" t="s">
        <v>748</v>
      </c>
      <c r="P26" s="46" t="s">
        <v>232</v>
      </c>
      <c r="Q26" s="46" t="s">
        <v>749</v>
      </c>
    </row>
    <row r="27" spans="1:17">
      <c r="A27" s="33">
        <v>25</v>
      </c>
      <c r="B27" s="34">
        <f>$B$2+A27-1</f>
        <v>4632</v>
      </c>
      <c r="C27" s="34" t="str">
        <f t="shared" si="0"/>
        <v>1218</v>
      </c>
      <c r="D27" s="33"/>
      <c r="E27" s="33"/>
      <c r="F27" s="33"/>
      <c r="G27" s="33"/>
      <c r="H27" s="35"/>
      <c r="I27" s="35"/>
      <c r="K27" s="44"/>
      <c r="M27" s="45">
        <v>25</v>
      </c>
      <c r="N27" s="45" t="s">
        <v>750</v>
      </c>
      <c r="O27" s="47" t="s">
        <v>751</v>
      </c>
      <c r="P27" s="46" t="s">
        <v>282</v>
      </c>
      <c r="Q27" s="46" t="s">
        <v>752</v>
      </c>
    </row>
    <row r="28" spans="1:17">
      <c r="A28" s="33">
        <v>26</v>
      </c>
      <c r="B28" s="34">
        <f>$B$2+A28-1</f>
        <v>4633</v>
      </c>
      <c r="C28" s="34" t="str">
        <f t="shared" si="0"/>
        <v>1219</v>
      </c>
      <c r="D28" s="33"/>
      <c r="E28" s="33"/>
      <c r="F28" s="33"/>
      <c r="G28" s="33"/>
      <c r="H28" s="35"/>
      <c r="I28" s="35"/>
      <c r="M28" s="45">
        <v>26</v>
      </c>
      <c r="N28" s="45" t="s">
        <v>753</v>
      </c>
      <c r="O28" s="47" t="s">
        <v>290</v>
      </c>
      <c r="P28" s="46" t="s">
        <v>238</v>
      </c>
      <c r="Q28" s="46" t="s">
        <v>88</v>
      </c>
    </row>
    <row r="29" spans="1:17">
      <c r="A29" s="33">
        <v>27</v>
      </c>
      <c r="B29" s="34">
        <f>$B$2+A29-1</f>
        <v>4634</v>
      </c>
      <c r="C29" s="34" t="str">
        <f t="shared" si="0"/>
        <v>121A</v>
      </c>
      <c r="D29" s="33"/>
      <c r="E29" s="33"/>
      <c r="F29" s="33"/>
      <c r="G29" s="33"/>
      <c r="H29" s="35"/>
      <c r="I29" s="35"/>
      <c r="M29" s="48"/>
      <c r="N29" s="48"/>
      <c r="O29" s="49"/>
      <c r="P29" s="50"/>
      <c r="Q29" s="48"/>
    </row>
    <row r="30" spans="1:17">
      <c r="A30" s="33">
        <v>28</v>
      </c>
      <c r="B30" s="34">
        <f>$B$2+A30-1</f>
        <v>4635</v>
      </c>
      <c r="C30" s="34" t="str">
        <f t="shared" si="0"/>
        <v>121B</v>
      </c>
      <c r="E30" s="33"/>
      <c r="F30" s="33"/>
      <c r="G30" s="33"/>
      <c r="H30" s="35"/>
      <c r="I30" s="35"/>
      <c r="M30" s="45" t="s">
        <v>754</v>
      </c>
      <c r="N30" s="45" t="s">
        <v>755</v>
      </c>
      <c r="O30" s="47" t="s">
        <v>756</v>
      </c>
      <c r="P30" s="50"/>
      <c r="Q30" s="48"/>
    </row>
    <row r="31" spans="1:15">
      <c r="A31" s="33">
        <v>29</v>
      </c>
      <c r="B31" s="34">
        <f>$B$2+A31-1</f>
        <v>4636</v>
      </c>
      <c r="C31" s="34" t="str">
        <f t="shared" si="0"/>
        <v>121C</v>
      </c>
      <c r="E31" s="33"/>
      <c r="F31" s="33"/>
      <c r="G31" s="33"/>
      <c r="H31" s="35"/>
      <c r="M31" s="1"/>
      <c r="N31" s="1"/>
      <c r="O31" s="7"/>
    </row>
    <row r="32" spans="1:16">
      <c r="A32" s="33">
        <v>30</v>
      </c>
      <c r="B32" s="34">
        <f>$B$2+A32-1</f>
        <v>4637</v>
      </c>
      <c r="C32" s="34" t="str">
        <f t="shared" si="0"/>
        <v>121D</v>
      </c>
      <c r="F32" s="33"/>
      <c r="G32" s="33"/>
      <c r="M32"/>
      <c r="N32"/>
      <c r="P32"/>
    </row>
    <row r="33" spans="1:15">
      <c r="A33" s="33">
        <v>31</v>
      </c>
      <c r="B33" s="34">
        <f>$B$2+A33-1</f>
        <v>4638</v>
      </c>
      <c r="C33" s="34" t="str">
        <f t="shared" si="0"/>
        <v>121E</v>
      </c>
      <c r="F33" s="33"/>
      <c r="G33" s="33"/>
      <c r="M33" s="8"/>
      <c r="N33" s="8"/>
      <c r="O33" s="44"/>
    </row>
    <row r="34" spans="1:15">
      <c r="A34" s="33">
        <v>32</v>
      </c>
      <c r="B34" s="34">
        <f>$B$2+A34-1</f>
        <v>4639</v>
      </c>
      <c r="C34" s="34" t="str">
        <f t="shared" si="0"/>
        <v>121F</v>
      </c>
      <c r="F34" s="33"/>
      <c r="G34" s="33"/>
      <c r="M34" s="8"/>
      <c r="N34" s="8"/>
      <c r="O34" s="44"/>
    </row>
    <row r="35" spans="1:15">
      <c r="A35" s="33"/>
      <c r="B35" s="34"/>
      <c r="C35" s="34"/>
      <c r="F35" s="33"/>
      <c r="G35" s="33"/>
      <c r="M35" s="8"/>
      <c r="N35" s="8"/>
      <c r="O35" s="44"/>
    </row>
    <row r="36" spans="1:15">
      <c r="A36" s="33"/>
      <c r="B36" s="34"/>
      <c r="C36" s="34"/>
      <c r="F36" s="33"/>
      <c r="G36" s="33"/>
      <c r="M36" s="8"/>
      <c r="N36" s="8"/>
      <c r="O36" s="44"/>
    </row>
    <row r="37" spans="1:15">
      <c r="A37" s="33"/>
      <c r="B37" s="34"/>
      <c r="C37" s="34"/>
      <c r="F37" s="33"/>
      <c r="G37" s="33"/>
      <c r="M37" s="8"/>
      <c r="N37" s="8"/>
      <c r="O37" s="44"/>
    </row>
    <row r="38" spans="1:15">
      <c r="A38" s="33"/>
      <c r="B38" s="34"/>
      <c r="C38" s="34"/>
      <c r="F38" s="33"/>
      <c r="G38" s="33"/>
      <c r="M38" s="8"/>
      <c r="N38" s="8"/>
      <c r="O38" s="44"/>
    </row>
    <row r="39" spans="1:15">
      <c r="A39" s="33"/>
      <c r="B39" s="34"/>
      <c r="C39" s="34"/>
      <c r="F39" s="33"/>
      <c r="G39" s="33"/>
      <c r="O39" s="42"/>
    </row>
    <row r="40" spans="1:7">
      <c r="A40" s="33"/>
      <c r="B40" s="34"/>
      <c r="C40" s="34"/>
      <c r="F40" s="33"/>
      <c r="G40" s="33"/>
    </row>
    <row r="41" spans="1:7">
      <c r="A41" s="33"/>
      <c r="B41" s="34"/>
      <c r="C41" s="34"/>
      <c r="F41" s="33"/>
      <c r="G41" s="33"/>
    </row>
    <row r="42" spans="1:7">
      <c r="A42" s="33"/>
      <c r="B42" s="34"/>
      <c r="C42" s="34"/>
      <c r="F42" s="33"/>
      <c r="G42" s="33"/>
    </row>
    <row r="43" spans="1:7">
      <c r="A43" s="33"/>
      <c r="B43" s="34"/>
      <c r="C43" s="34"/>
      <c r="F43" s="33"/>
      <c r="G43" s="33"/>
    </row>
    <row r="44" spans="1:7">
      <c r="A44" s="33"/>
      <c r="B44" s="34"/>
      <c r="C44" s="34"/>
      <c r="F44" s="33"/>
      <c r="G44" s="33"/>
    </row>
    <row r="45" spans="1:7">
      <c r="A45" s="33"/>
      <c r="B45" s="34"/>
      <c r="C45" s="34"/>
      <c r="F45" s="33"/>
      <c r="G45" s="33"/>
    </row>
    <row r="46" spans="1:7">
      <c r="A46" s="33"/>
      <c r="B46" s="34"/>
      <c r="C46" s="34"/>
      <c r="F46" s="33"/>
      <c r="G46" s="33"/>
    </row>
    <row r="47" spans="1:7">
      <c r="A47" s="33"/>
      <c r="B47" s="34"/>
      <c r="C47" s="34"/>
      <c r="F47" s="33"/>
      <c r="G47" s="33"/>
    </row>
    <row r="48" spans="1:7">
      <c r="A48" s="33"/>
      <c r="B48" s="34"/>
      <c r="C48" s="34"/>
      <c r="F48" s="33"/>
      <c r="G48" s="33"/>
    </row>
    <row r="49" spans="1:7">
      <c r="A49" s="33"/>
      <c r="B49" s="34"/>
      <c r="C49" s="34"/>
      <c r="F49" s="33"/>
      <c r="G49" s="33"/>
    </row>
    <row r="50" spans="1:7">
      <c r="A50" s="33"/>
      <c r="B50" s="34"/>
      <c r="C50" s="34"/>
      <c r="F50" s="33"/>
      <c r="G50" s="33"/>
    </row>
    <row r="51" spans="1:7">
      <c r="A51" s="33"/>
      <c r="B51" s="34"/>
      <c r="C51" s="34"/>
      <c r="F51" s="33"/>
      <c r="G51" s="33"/>
    </row>
    <row r="52" spans="1:7">
      <c r="A52" s="33"/>
      <c r="B52" s="34"/>
      <c r="C52" s="34"/>
      <c r="F52" s="33"/>
      <c r="G52" s="33"/>
    </row>
    <row r="53" spans="1:7">
      <c r="A53" s="33"/>
      <c r="B53" s="34"/>
      <c r="C53" s="34"/>
      <c r="F53" s="33"/>
      <c r="G53" s="33"/>
    </row>
    <row r="54" spans="1:7">
      <c r="A54" s="33"/>
      <c r="B54" s="34"/>
      <c r="C54" s="34"/>
      <c r="F54" s="33"/>
      <c r="G54" s="33"/>
    </row>
    <row r="55" spans="1:7">
      <c r="A55" s="33"/>
      <c r="B55" s="34"/>
      <c r="C55" s="34"/>
      <c r="F55" s="33"/>
      <c r="G55" s="33"/>
    </row>
    <row r="56" spans="1:7">
      <c r="A56" s="33"/>
      <c r="B56" s="34"/>
      <c r="C56" s="34"/>
      <c r="F56" s="33"/>
      <c r="G56" s="33"/>
    </row>
    <row r="57" spans="1:7">
      <c r="A57" s="33"/>
      <c r="B57" s="34"/>
      <c r="C57" s="34"/>
      <c r="F57" s="33"/>
      <c r="G57" s="33"/>
    </row>
    <row r="58" spans="1:7">
      <c r="A58" s="33"/>
      <c r="B58" s="34"/>
      <c r="C58" s="34"/>
      <c r="F58" s="33"/>
      <c r="G58" s="33"/>
    </row>
    <row r="59" spans="1:7">
      <c r="A59" s="33"/>
      <c r="B59" s="34"/>
      <c r="C59" s="34"/>
      <c r="F59" s="33"/>
      <c r="G59" s="33"/>
    </row>
    <row r="60" spans="1:7">
      <c r="A60" s="33"/>
      <c r="B60" s="34"/>
      <c r="C60" s="34"/>
      <c r="F60" s="33"/>
      <c r="G60" s="33"/>
    </row>
    <row r="61" spans="1:7">
      <c r="A61" s="33"/>
      <c r="B61" s="34"/>
      <c r="C61" s="34"/>
      <c r="F61" s="33"/>
      <c r="G61" s="33"/>
    </row>
    <row r="62" spans="1:7">
      <c r="A62" s="33"/>
      <c r="B62" s="34"/>
      <c r="C62" s="34"/>
      <c r="F62" s="33"/>
      <c r="G62" s="33"/>
    </row>
    <row r="63" spans="1:7">
      <c r="A63" s="33"/>
      <c r="B63" s="34"/>
      <c r="C63" s="34"/>
      <c r="F63" s="33"/>
      <c r="G63" s="33"/>
    </row>
    <row r="64" spans="1:7">
      <c r="A64" s="33"/>
      <c r="B64" s="34"/>
      <c r="C64" s="34"/>
      <c r="F64" s="33"/>
      <c r="G64" s="33"/>
    </row>
    <row r="65" spans="1:7">
      <c r="A65" s="33"/>
      <c r="B65" s="34"/>
      <c r="C65" s="34"/>
      <c r="F65" s="33"/>
      <c r="G65" s="33"/>
    </row>
    <row r="66" spans="1:7">
      <c r="A66" s="33"/>
      <c r="B66" s="34"/>
      <c r="C66" s="34"/>
      <c r="F66" s="33"/>
      <c r="G66" s="33"/>
    </row>
    <row r="67" spans="1:7">
      <c r="A67" s="33"/>
      <c r="B67" s="34"/>
      <c r="C67" s="34"/>
      <c r="F67" s="33"/>
      <c r="G67" s="33"/>
    </row>
    <row r="68" spans="1:7">
      <c r="A68" s="33"/>
      <c r="B68" s="34"/>
      <c r="C68" s="34"/>
      <c r="F68" s="33"/>
      <c r="G68" s="33"/>
    </row>
    <row r="69" spans="1:7">
      <c r="A69" s="33"/>
      <c r="B69" s="34"/>
      <c r="C69" s="34"/>
      <c r="F69" s="33"/>
      <c r="G69" s="33"/>
    </row>
    <row r="70" spans="1:7">
      <c r="A70" s="33"/>
      <c r="B70" s="34"/>
      <c r="C70" s="34"/>
      <c r="F70" s="33"/>
      <c r="G70" s="33"/>
    </row>
    <row r="71" spans="1:7">
      <c r="A71" s="33"/>
      <c r="B71" s="34"/>
      <c r="C71" s="34"/>
      <c r="F71" s="33"/>
      <c r="G71" s="33"/>
    </row>
    <row r="72" spans="1:7">
      <c r="A72" s="33"/>
      <c r="B72" s="34"/>
      <c r="C72" s="34"/>
      <c r="F72" s="33"/>
      <c r="G72" s="33"/>
    </row>
    <row r="73" spans="1:7">
      <c r="A73" s="33"/>
      <c r="B73" s="34"/>
      <c r="C73" s="34"/>
      <c r="F73" s="33"/>
      <c r="G73" s="33"/>
    </row>
    <row r="74" spans="1:7">
      <c r="A74" s="33"/>
      <c r="B74" s="34"/>
      <c r="C74" s="34"/>
      <c r="F74" s="33"/>
      <c r="G74" s="33"/>
    </row>
    <row r="75" spans="1:7">
      <c r="A75" s="33"/>
      <c r="B75" s="34"/>
      <c r="C75" s="34"/>
      <c r="F75" s="33"/>
      <c r="G75" s="33"/>
    </row>
    <row r="76" spans="1:7">
      <c r="A76" s="33"/>
      <c r="B76" s="34"/>
      <c r="C76" s="34"/>
      <c r="F76" s="33"/>
      <c r="G76" s="33"/>
    </row>
    <row r="77" spans="1:7">
      <c r="A77" s="33"/>
      <c r="B77" s="34"/>
      <c r="C77" s="34"/>
      <c r="F77" s="33"/>
      <c r="G77" s="33"/>
    </row>
    <row r="78" spans="1:7">
      <c r="A78" s="33"/>
      <c r="B78" s="34"/>
      <c r="C78" s="34"/>
      <c r="F78" s="33"/>
      <c r="G78" s="33"/>
    </row>
    <row r="79" spans="1:7">
      <c r="A79" s="33"/>
      <c r="B79" s="34"/>
      <c r="C79" s="34"/>
      <c r="F79" s="33"/>
      <c r="G79" s="33"/>
    </row>
    <row r="80" spans="1:7">
      <c r="A80" s="33"/>
      <c r="B80" s="34"/>
      <c r="C80" s="34"/>
      <c r="F80" s="33"/>
      <c r="G80" s="33"/>
    </row>
    <row r="81" spans="1:7">
      <c r="A81" s="33"/>
      <c r="B81" s="34"/>
      <c r="C81" s="34"/>
      <c r="F81" s="33"/>
      <c r="G81" s="33"/>
    </row>
    <row r="82" spans="1:7">
      <c r="A82" s="33"/>
      <c r="B82" s="34"/>
      <c r="C82" s="34"/>
      <c r="F82" s="33"/>
      <c r="G82" s="33"/>
    </row>
    <row r="83" spans="1:7">
      <c r="A83" s="33"/>
      <c r="B83" s="34"/>
      <c r="C83" s="34"/>
      <c r="F83" s="33"/>
      <c r="G83" s="33"/>
    </row>
    <row r="84" spans="1:7">
      <c r="A84" s="33"/>
      <c r="B84" s="34"/>
      <c r="C84" s="34"/>
      <c r="F84" s="33"/>
      <c r="G84" s="33"/>
    </row>
    <row r="85" spans="1:7">
      <c r="A85" s="33"/>
      <c r="B85" s="34"/>
      <c r="C85" s="34"/>
      <c r="F85" s="33"/>
      <c r="G85" s="33"/>
    </row>
    <row r="86" spans="1:7">
      <c r="A86" s="33"/>
      <c r="B86" s="34"/>
      <c r="C86" s="34"/>
      <c r="F86" s="33"/>
      <c r="G86" s="33"/>
    </row>
    <row r="87" spans="1:7">
      <c r="A87" s="33"/>
      <c r="B87" s="34"/>
      <c r="C87" s="34"/>
      <c r="F87" s="33"/>
      <c r="G87" s="33"/>
    </row>
    <row r="88" spans="1:7">
      <c r="A88" s="33"/>
      <c r="B88" s="34"/>
      <c r="C88" s="34"/>
      <c r="F88" s="33"/>
      <c r="G88" s="33"/>
    </row>
    <row r="89" spans="1:7">
      <c r="A89" s="33"/>
      <c r="B89" s="34"/>
      <c r="C89" s="34"/>
      <c r="F89" s="33"/>
      <c r="G89" s="33"/>
    </row>
    <row r="90" spans="1:7">
      <c r="A90" s="33"/>
      <c r="B90" s="34"/>
      <c r="C90" s="34"/>
      <c r="F90" s="33"/>
      <c r="G90" s="33"/>
    </row>
    <row r="91" spans="1:7">
      <c r="A91" s="33"/>
      <c r="B91" s="34"/>
      <c r="C91" s="34"/>
      <c r="F91" s="33"/>
      <c r="G91" s="33"/>
    </row>
    <row r="92" spans="1:7">
      <c r="A92" s="33"/>
      <c r="B92" s="34"/>
      <c r="C92" s="34"/>
      <c r="F92" s="33"/>
      <c r="G92" s="33"/>
    </row>
    <row r="93" spans="1:7">
      <c r="A93" s="33"/>
      <c r="B93" s="34"/>
      <c r="C93" s="34"/>
      <c r="F93" s="33"/>
      <c r="G93" s="33"/>
    </row>
    <row r="94" spans="1:7">
      <c r="A94" s="33"/>
      <c r="B94" s="34"/>
      <c r="C94" s="34"/>
      <c r="F94" s="33"/>
      <c r="G94" s="33"/>
    </row>
    <row r="95" spans="1:7">
      <c r="A95" s="33"/>
      <c r="B95" s="34"/>
      <c r="C95" s="34"/>
      <c r="F95" s="33"/>
      <c r="G95" s="33"/>
    </row>
    <row r="96" spans="1:7">
      <c r="A96" s="33"/>
      <c r="B96" s="34"/>
      <c r="C96" s="34"/>
      <c r="F96" s="33"/>
      <c r="G96" s="33"/>
    </row>
    <row r="97" spans="1:7">
      <c r="A97" s="33"/>
      <c r="B97" s="34"/>
      <c r="C97" s="34"/>
      <c r="F97" s="33"/>
      <c r="G97" s="33"/>
    </row>
    <row r="98" spans="1:7">
      <c r="A98" s="33"/>
      <c r="B98" s="34"/>
      <c r="C98" s="34"/>
      <c r="F98" s="33"/>
      <c r="G98" s="33"/>
    </row>
    <row r="99" spans="1:7">
      <c r="A99" s="33"/>
      <c r="B99" s="34"/>
      <c r="C99" s="34"/>
      <c r="F99" s="33"/>
      <c r="G99" s="33"/>
    </row>
    <row r="100" spans="1:7">
      <c r="A100" s="33"/>
      <c r="B100" s="34"/>
      <c r="C100" s="34"/>
      <c r="F100" s="33"/>
      <c r="G100" s="33"/>
    </row>
    <row r="101" spans="1:7">
      <c r="A101" s="33"/>
      <c r="B101" s="34"/>
      <c r="C101" s="34"/>
      <c r="F101" s="33"/>
      <c r="G101" s="33"/>
    </row>
    <row r="102" spans="1:7">
      <c r="A102" s="33"/>
      <c r="B102" s="34"/>
      <c r="C102" s="34"/>
      <c r="F102" s="33"/>
      <c r="G102" s="33"/>
    </row>
    <row r="103" spans="1:7">
      <c r="A103" s="33"/>
      <c r="B103" s="34"/>
      <c r="C103" s="34"/>
      <c r="F103" s="33"/>
      <c r="G103" s="33"/>
    </row>
    <row r="104" spans="1:7">
      <c r="A104" s="33"/>
      <c r="B104" s="34"/>
      <c r="C104" s="34"/>
      <c r="F104" s="33"/>
      <c r="G104" s="33"/>
    </row>
    <row r="105" spans="1:7">
      <c r="A105" s="33"/>
      <c r="B105" s="34"/>
      <c r="C105" s="34"/>
      <c r="F105" s="33"/>
      <c r="G105" s="33"/>
    </row>
    <row r="106" spans="1:7">
      <c r="A106" s="33"/>
      <c r="B106" s="34"/>
      <c r="C106" s="34"/>
      <c r="F106" s="33"/>
      <c r="G106" s="33"/>
    </row>
    <row r="107" spans="1:7">
      <c r="A107" s="33"/>
      <c r="B107" s="34"/>
      <c r="C107" s="34"/>
      <c r="F107" s="33"/>
      <c r="G107" s="33"/>
    </row>
    <row r="108" spans="1:7">
      <c r="A108" s="33"/>
      <c r="B108" s="34"/>
      <c r="C108" s="34"/>
      <c r="F108" s="33"/>
      <c r="G108" s="33"/>
    </row>
    <row r="109" spans="1:7">
      <c r="A109" s="33"/>
      <c r="B109" s="34"/>
      <c r="C109" s="34"/>
      <c r="F109" s="33"/>
      <c r="G109" s="33"/>
    </row>
    <row r="110" spans="1:7">
      <c r="A110" s="33"/>
      <c r="B110" s="34"/>
      <c r="C110" s="34"/>
      <c r="F110" s="33"/>
      <c r="G110" s="33"/>
    </row>
    <row r="111" spans="1:7">
      <c r="A111" s="33"/>
      <c r="B111" s="34"/>
      <c r="C111" s="34"/>
      <c r="F111" s="33"/>
      <c r="G111" s="33"/>
    </row>
    <row r="112" spans="1:7">
      <c r="A112" s="33"/>
      <c r="B112" s="34"/>
      <c r="C112" s="34"/>
      <c r="F112" s="33"/>
      <c r="G112" s="33"/>
    </row>
    <row r="113" spans="1:7">
      <c r="A113" s="33"/>
      <c r="B113" s="34"/>
      <c r="C113" s="34"/>
      <c r="F113" s="33"/>
      <c r="G113" s="33"/>
    </row>
    <row r="114" spans="1:7">
      <c r="A114" s="33"/>
      <c r="B114" s="34"/>
      <c r="C114" s="34"/>
      <c r="F114" s="33"/>
      <c r="G114" s="33"/>
    </row>
    <row r="115" spans="1:7">
      <c r="A115" s="33"/>
      <c r="B115" s="34"/>
      <c r="C115" s="34"/>
      <c r="F115" s="33"/>
      <c r="G115" s="33"/>
    </row>
    <row r="116" spans="1:7">
      <c r="A116" s="33"/>
      <c r="B116" s="34"/>
      <c r="C116" s="34"/>
      <c r="F116" s="33"/>
      <c r="G116" s="33"/>
    </row>
    <row r="117" customFormat="1" spans="1:16">
      <c r="A117" s="33"/>
      <c r="B117" s="34"/>
      <c r="C117" s="34"/>
      <c r="F117" s="33"/>
      <c r="G117" s="33"/>
      <c r="L117" s="42"/>
      <c r="M117" s="33"/>
      <c r="N117" s="33"/>
      <c r="P117" s="34"/>
    </row>
    <row r="118" customFormat="1" spans="1:16">
      <c r="A118" s="33"/>
      <c r="B118" s="34"/>
      <c r="C118" s="34"/>
      <c r="F118" s="33"/>
      <c r="G118" s="33"/>
      <c r="L118" s="42"/>
      <c r="M118" s="33"/>
      <c r="N118" s="33"/>
      <c r="P118" s="34"/>
    </row>
    <row r="119" customFormat="1" spans="1:16">
      <c r="A119" s="33"/>
      <c r="B119" s="34"/>
      <c r="C119" s="34"/>
      <c r="F119" s="33"/>
      <c r="G119" s="33"/>
      <c r="L119" s="42"/>
      <c r="M119" s="33"/>
      <c r="N119" s="33"/>
      <c r="P119" s="34"/>
    </row>
    <row r="120" customFormat="1" spans="1:16">
      <c r="A120" s="33"/>
      <c r="B120" s="34"/>
      <c r="C120" s="34"/>
      <c r="F120" s="33"/>
      <c r="G120" s="33"/>
      <c r="L120" s="42"/>
      <c r="M120" s="33"/>
      <c r="N120" s="33"/>
      <c r="P120" s="34"/>
    </row>
    <row r="121" customFormat="1" spans="1:16">
      <c r="A121" s="33"/>
      <c r="B121" s="34"/>
      <c r="C121" s="34"/>
      <c r="F121" s="33"/>
      <c r="G121" s="33"/>
      <c r="L121" s="42"/>
      <c r="M121" s="33"/>
      <c r="N121" s="33"/>
      <c r="P121" s="34"/>
    </row>
    <row r="122" s="41" customFormat="1" ht="15" spans="1:16">
      <c r="A122" s="33"/>
      <c r="B122" s="34"/>
      <c r="C122" s="34"/>
      <c r="F122" s="33"/>
      <c r="G122" s="52"/>
      <c r="L122" s="53"/>
      <c r="M122" s="52"/>
      <c r="N122" s="52"/>
      <c r="P122" s="54"/>
    </row>
    <row r="123" spans="1:7">
      <c r="A123" s="33"/>
      <c r="B123" s="34"/>
      <c r="C123" s="34"/>
      <c r="F123" s="33"/>
      <c r="G123" s="33"/>
    </row>
    <row r="124" spans="1:7">
      <c r="A124" s="33"/>
      <c r="B124" s="34"/>
      <c r="C124" s="34"/>
      <c r="F124" s="33"/>
      <c r="G124" s="33"/>
    </row>
    <row r="125" spans="1:7">
      <c r="A125" s="33"/>
      <c r="B125" s="34"/>
      <c r="C125" s="34"/>
      <c r="F125" s="33"/>
      <c r="G125" s="33"/>
    </row>
    <row r="126" spans="1:7">
      <c r="A126" s="33"/>
      <c r="B126" s="34"/>
      <c r="C126" s="34"/>
      <c r="F126" s="33"/>
      <c r="G126" s="33"/>
    </row>
    <row r="127" spans="1:7">
      <c r="A127" s="33"/>
      <c r="B127" s="34"/>
      <c r="C127" s="34"/>
      <c r="F127" s="33"/>
      <c r="G127" s="33"/>
    </row>
    <row r="128" spans="1:7">
      <c r="A128" s="33"/>
      <c r="B128" s="34"/>
      <c r="C128" s="34"/>
      <c r="F128" s="33"/>
      <c r="G128" s="33"/>
    </row>
    <row r="129" s="41" customFormat="1" ht="15" spans="1:16">
      <c r="A129" s="33"/>
      <c r="B129" s="34"/>
      <c r="C129" s="34"/>
      <c r="F129" s="33"/>
      <c r="G129" s="52"/>
      <c r="L129" s="53"/>
      <c r="M129" s="52"/>
      <c r="N129" s="52"/>
      <c r="P129" s="54"/>
    </row>
    <row r="130" s="41" customFormat="1" ht="15" spans="1:16">
      <c r="A130" s="33"/>
      <c r="B130" s="34"/>
      <c r="C130" s="34"/>
      <c r="F130" s="33"/>
      <c r="G130" s="52"/>
      <c r="L130" s="53"/>
      <c r="M130" s="52"/>
      <c r="N130" s="52"/>
      <c r="P130" s="54"/>
    </row>
    <row r="131" spans="1:7">
      <c r="A131" s="33"/>
      <c r="B131" s="34"/>
      <c r="C131" s="34"/>
      <c r="F131" s="33"/>
      <c r="G131" s="33"/>
    </row>
    <row r="132" spans="1:7">
      <c r="A132" s="33"/>
      <c r="B132" s="34"/>
      <c r="C132" s="34"/>
      <c r="F132" s="33"/>
      <c r="G132" s="33"/>
    </row>
    <row r="133" spans="1:7">
      <c r="A133" s="33"/>
      <c r="B133" s="34"/>
      <c r="C133" s="34"/>
      <c r="F133" s="33"/>
      <c r="G133" s="33"/>
    </row>
    <row r="134" spans="1:7">
      <c r="A134" s="33"/>
      <c r="B134" s="34"/>
      <c r="C134" s="34"/>
      <c r="F134" s="33"/>
      <c r="G134" s="33"/>
    </row>
    <row r="135" spans="1:7">
      <c r="A135" s="33"/>
      <c r="B135" s="34"/>
      <c r="C135" s="34"/>
      <c r="F135" s="33"/>
      <c r="G135" s="33"/>
    </row>
    <row r="136" spans="1:7">
      <c r="A136" s="33"/>
      <c r="B136" s="34"/>
      <c r="C136" s="34"/>
      <c r="F136" s="33"/>
      <c r="G136" s="33"/>
    </row>
    <row r="137" spans="1:7">
      <c r="A137" s="33"/>
      <c r="B137" s="34"/>
      <c r="C137" s="34"/>
      <c r="F137" s="33"/>
      <c r="G137" s="33"/>
    </row>
    <row r="138" spans="1:7">
      <c r="A138" s="33"/>
      <c r="B138" s="34"/>
      <c r="C138" s="34"/>
      <c r="F138" s="33"/>
      <c r="G138" s="33"/>
    </row>
    <row r="139" spans="1:7">
      <c r="A139" s="33"/>
      <c r="B139" s="34"/>
      <c r="C139" s="34"/>
      <c r="F139" s="33"/>
      <c r="G139" s="33"/>
    </row>
    <row r="140" spans="1:7">
      <c r="A140" s="33"/>
      <c r="B140" s="34"/>
      <c r="C140" s="34"/>
      <c r="F140" s="33"/>
      <c r="G140" s="33"/>
    </row>
    <row r="141" spans="1:7">
      <c r="A141" s="33"/>
      <c r="B141" s="34"/>
      <c r="C141" s="34"/>
      <c r="F141" s="33"/>
      <c r="G141" s="33"/>
    </row>
    <row r="142" spans="1:7">
      <c r="A142" s="33"/>
      <c r="B142" s="34"/>
      <c r="C142" s="34"/>
      <c r="F142" s="33"/>
      <c r="G142" s="33"/>
    </row>
    <row r="143" spans="1:7">
      <c r="A143" s="33"/>
      <c r="B143" s="34"/>
      <c r="C143" s="34"/>
      <c r="F143" s="33"/>
      <c r="G143" s="33"/>
    </row>
    <row r="144" spans="1:7">
      <c r="A144" s="33"/>
      <c r="B144" s="34"/>
      <c r="C144" s="34"/>
      <c r="F144" s="33"/>
      <c r="G144" s="33"/>
    </row>
    <row r="145" spans="1:7">
      <c r="A145" s="33"/>
      <c r="B145" s="34"/>
      <c r="C145" s="34"/>
      <c r="F145" s="33"/>
      <c r="G145" s="33"/>
    </row>
    <row r="146" spans="1:7">
      <c r="A146" s="33"/>
      <c r="B146" s="34"/>
      <c r="C146" s="34"/>
      <c r="F146" s="33"/>
      <c r="G146" s="33"/>
    </row>
    <row r="147" spans="1:7">
      <c r="A147" s="33"/>
      <c r="B147" s="34"/>
      <c r="C147" s="34"/>
      <c r="F147" s="33"/>
      <c r="G147" s="33"/>
    </row>
    <row r="148" spans="1:7">
      <c r="A148" s="33"/>
      <c r="B148" s="34"/>
      <c r="C148" s="34"/>
      <c r="F148" s="33"/>
      <c r="G148" s="33"/>
    </row>
    <row r="149" spans="1:7">
      <c r="A149" s="33"/>
      <c r="B149" s="34"/>
      <c r="C149" s="34"/>
      <c r="F149" s="33"/>
      <c r="G149" s="33"/>
    </row>
    <row r="150" spans="1:7">
      <c r="A150" s="33"/>
      <c r="B150" s="34"/>
      <c r="C150" s="34"/>
      <c r="F150" s="33"/>
      <c r="G150" s="33"/>
    </row>
    <row r="151" spans="1:7">
      <c r="A151" s="33"/>
      <c r="B151" s="34"/>
      <c r="C151" s="34"/>
      <c r="F151" s="33"/>
      <c r="G151" s="33"/>
    </row>
    <row r="152" spans="1:7">
      <c r="A152" s="33"/>
      <c r="B152" s="34"/>
      <c r="C152" s="34"/>
      <c r="F152" s="33"/>
      <c r="G152" s="33"/>
    </row>
    <row r="153" spans="1:7">
      <c r="A153" s="33"/>
      <c r="B153" s="34"/>
      <c r="C153" s="34"/>
      <c r="F153" s="33"/>
      <c r="G153" s="33"/>
    </row>
    <row r="154" spans="1:7">
      <c r="A154" s="33"/>
      <c r="B154" s="34"/>
      <c r="C154" s="34"/>
      <c r="F154" s="33"/>
      <c r="G154" s="33"/>
    </row>
    <row r="155" spans="1:7">
      <c r="A155" s="33"/>
      <c r="B155" s="34"/>
      <c r="C155" s="34"/>
      <c r="F155" s="33"/>
      <c r="G155" s="33"/>
    </row>
    <row r="156" spans="1:7">
      <c r="A156" s="33"/>
      <c r="B156" s="34"/>
      <c r="C156" s="34"/>
      <c r="F156" s="33"/>
      <c r="G156" s="33"/>
    </row>
    <row r="157" spans="1:7">
      <c r="A157" s="33"/>
      <c r="B157" s="34"/>
      <c r="C157" s="34"/>
      <c r="F157" s="33"/>
      <c r="G157" s="33"/>
    </row>
    <row r="158" spans="1:7">
      <c r="A158" s="33"/>
      <c r="B158" s="34"/>
      <c r="C158" s="34"/>
      <c r="F158" s="33"/>
      <c r="G158" s="33"/>
    </row>
    <row r="159" spans="1:7">
      <c r="A159" s="33"/>
      <c r="B159" s="34"/>
      <c r="C159" s="34"/>
      <c r="F159" s="33"/>
      <c r="G159" s="33"/>
    </row>
    <row r="160" spans="1:7">
      <c r="A160" s="33"/>
      <c r="B160" s="34"/>
      <c r="C160" s="34"/>
      <c r="F160" s="33"/>
      <c r="G160" s="33"/>
    </row>
    <row r="161" spans="1:7">
      <c r="A161" s="33"/>
      <c r="B161" s="34"/>
      <c r="C161" s="34"/>
      <c r="F161" s="33"/>
      <c r="G161" s="33"/>
    </row>
    <row r="162" spans="1:7">
      <c r="A162" s="33"/>
      <c r="B162" s="34"/>
      <c r="C162" s="34"/>
      <c r="F162" s="33"/>
      <c r="G162" s="33"/>
    </row>
    <row r="163" spans="1:7">
      <c r="A163" s="33"/>
      <c r="B163" s="34"/>
      <c r="C163" s="34"/>
      <c r="F163" s="33"/>
      <c r="G163" s="33"/>
    </row>
    <row r="164" spans="1:7">
      <c r="A164" s="33"/>
      <c r="B164" s="34"/>
      <c r="C164" s="34"/>
      <c r="F164" s="33"/>
      <c r="G164" s="33"/>
    </row>
    <row r="165" spans="1:7">
      <c r="A165" s="33"/>
      <c r="B165" s="34"/>
      <c r="C165" s="34"/>
      <c r="F165" s="33"/>
      <c r="G165" s="33"/>
    </row>
    <row r="166" spans="1:7">
      <c r="A166" s="33"/>
      <c r="B166" s="34"/>
      <c r="C166" s="34"/>
      <c r="F166" s="33"/>
      <c r="G166" s="33"/>
    </row>
    <row r="167" spans="1:6">
      <c r="A167" s="33"/>
      <c r="B167" s="34"/>
      <c r="C167" s="34"/>
      <c r="F167" s="33"/>
    </row>
    <row r="168" spans="1:6">
      <c r="A168" s="33"/>
      <c r="B168" s="34"/>
      <c r="C168" s="34"/>
      <c r="F168" s="33"/>
    </row>
    <row r="169" spans="1:6">
      <c r="A169" s="33"/>
      <c r="B169" s="34"/>
      <c r="C169" s="34"/>
      <c r="F169" s="33"/>
    </row>
    <row r="170" spans="1:6">
      <c r="A170" s="33"/>
      <c r="B170" s="34"/>
      <c r="C170" s="34"/>
      <c r="F170" s="33"/>
    </row>
    <row r="171" customFormat="1" spans="1:16">
      <c r="A171" s="33"/>
      <c r="B171" s="34"/>
      <c r="C171" s="34"/>
      <c r="F171" s="33"/>
      <c r="L171" s="42"/>
      <c r="M171" s="33"/>
      <c r="N171" s="33"/>
      <c r="P171" s="34"/>
    </row>
    <row r="172" customFormat="1" spans="1:16">
      <c r="A172" s="33"/>
      <c r="B172" s="34"/>
      <c r="C172" s="34"/>
      <c r="F172" s="33"/>
      <c r="L172" s="42"/>
      <c r="M172" s="33"/>
      <c r="N172" s="33"/>
      <c r="P172" s="34"/>
    </row>
    <row r="173" spans="1:6">
      <c r="A173" s="33"/>
      <c r="B173" s="34"/>
      <c r="C173" s="34"/>
      <c r="F173" s="33"/>
    </row>
    <row r="174" spans="1:6">
      <c r="A174" s="33"/>
      <c r="B174" s="34"/>
      <c r="C174" s="34"/>
      <c r="F174" s="33"/>
    </row>
    <row r="175" spans="1:6">
      <c r="A175" s="33"/>
      <c r="B175" s="34"/>
      <c r="C175" s="34"/>
      <c r="F175" s="33"/>
    </row>
    <row r="176" spans="1:6">
      <c r="A176" s="33"/>
      <c r="B176" s="34"/>
      <c r="C176" s="34"/>
      <c r="F176" s="33"/>
    </row>
    <row r="177" spans="1:6">
      <c r="A177" s="33"/>
      <c r="B177" s="34"/>
      <c r="C177" s="34"/>
      <c r="F177" s="33"/>
    </row>
    <row r="178" spans="1:6">
      <c r="A178" s="33"/>
      <c r="B178" s="34"/>
      <c r="C178" s="34"/>
      <c r="F178" s="33"/>
    </row>
    <row r="179" spans="1:6">
      <c r="A179" s="33"/>
      <c r="B179" s="34"/>
      <c r="C179" s="34"/>
      <c r="F179" s="33"/>
    </row>
    <row r="180" spans="1:6">
      <c r="A180" s="33"/>
      <c r="B180" s="34"/>
      <c r="C180" s="34"/>
      <c r="F180" s="33"/>
    </row>
    <row r="181" spans="1:6">
      <c r="A181" s="33"/>
      <c r="B181" s="34"/>
      <c r="C181" s="34"/>
      <c r="F181" s="33"/>
    </row>
    <row r="182" spans="1:6">
      <c r="A182" s="33"/>
      <c r="B182" s="34"/>
      <c r="C182" s="34"/>
      <c r="F182" s="33"/>
    </row>
    <row r="183" spans="1:6">
      <c r="A183" s="33"/>
      <c r="B183" s="34"/>
      <c r="C183" s="34"/>
      <c r="F183" s="33"/>
    </row>
    <row r="184" spans="1:6">
      <c r="A184" s="33"/>
      <c r="B184" s="34"/>
      <c r="C184" s="34"/>
      <c r="F184" s="33"/>
    </row>
    <row r="185" spans="1:6">
      <c r="A185" s="33"/>
      <c r="B185" s="34"/>
      <c r="C185" s="34"/>
      <c r="F185" s="33"/>
    </row>
    <row r="186" spans="1:6">
      <c r="A186" s="33"/>
      <c r="B186" s="34"/>
      <c r="C186" s="34"/>
      <c r="F186" s="33"/>
    </row>
    <row r="187" spans="1:6">
      <c r="A187" s="33"/>
      <c r="B187" s="34"/>
      <c r="C187" s="34"/>
      <c r="F187" s="33"/>
    </row>
    <row r="188" spans="1:6">
      <c r="A188" s="33"/>
      <c r="B188" s="34"/>
      <c r="C188" s="34"/>
      <c r="F188" s="33"/>
    </row>
    <row r="189" spans="1:6">
      <c r="A189" s="33"/>
      <c r="B189" s="34"/>
      <c r="C189" s="34"/>
      <c r="F189" s="33"/>
    </row>
    <row r="190" spans="1:6">
      <c r="A190" s="33"/>
      <c r="B190" s="34"/>
      <c r="C190" s="34"/>
      <c r="F190" s="33"/>
    </row>
    <row r="191" spans="1:6">
      <c r="A191" s="33"/>
      <c r="B191" s="34"/>
      <c r="C191" s="34"/>
      <c r="F191" s="33"/>
    </row>
    <row r="192" spans="1:6">
      <c r="A192" s="33"/>
      <c r="B192" s="34"/>
      <c r="C192" s="34"/>
      <c r="F192" s="33"/>
    </row>
    <row r="193" spans="1:6">
      <c r="A193" s="33"/>
      <c r="B193" s="34"/>
      <c r="C193" s="34"/>
      <c r="F193" s="33"/>
    </row>
    <row r="194" spans="1:6">
      <c r="A194" s="33"/>
      <c r="B194" s="34"/>
      <c r="C194" s="34"/>
      <c r="F194" s="33"/>
    </row>
  </sheetData>
  <mergeCells count="1">
    <mergeCell ref="M1:Q1"/>
  </mergeCell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workbookViewId="0">
      <selection activeCell="H7" sqref="E4:H7"/>
    </sheetView>
  </sheetViews>
  <sheetFormatPr defaultColWidth="8.73636363636364" defaultRowHeight="14"/>
  <cols>
    <col min="1" max="1" width="5.55454545454545" customWidth="1"/>
    <col min="2" max="2" width="14" customWidth="1"/>
    <col min="3" max="3" width="5.55454545454545" customWidth="1"/>
    <col min="4" max="4" width="7.55454545454545" customWidth="1"/>
    <col min="5" max="5" width="5.55454545454545" customWidth="1"/>
    <col min="6" max="6" width="26.1818181818182" customWidth="1"/>
    <col min="7" max="7" width="18.5454545454545" style="34" customWidth="1"/>
    <col min="8" max="8" width="6.55454545454545" style="34" customWidth="1"/>
    <col min="9" max="9" width="5.55454545454545" customWidth="1"/>
    <col min="10" max="11" width="7.55454545454545" customWidth="1"/>
  </cols>
  <sheetData>
    <row r="1" spans="1:11">
      <c r="A1" s="33" t="s">
        <v>99</v>
      </c>
      <c r="B1" s="33" t="s">
        <v>100</v>
      </c>
      <c r="C1" s="33" t="s">
        <v>101</v>
      </c>
      <c r="D1" s="33" t="s">
        <v>102</v>
      </c>
      <c r="E1" s="33" t="s">
        <v>103</v>
      </c>
      <c r="F1" s="33" t="s">
        <v>104</v>
      </c>
      <c r="G1" s="33" t="s">
        <v>105</v>
      </c>
      <c r="H1" s="33" t="s">
        <v>106</v>
      </c>
      <c r="I1" s="33" t="s">
        <v>107</v>
      </c>
      <c r="J1" s="33" t="s">
        <v>108</v>
      </c>
      <c r="K1" s="33" t="s">
        <v>109</v>
      </c>
    </row>
    <row r="2" s="33" customFormat="1" spans="2:9">
      <c r="B2" s="33">
        <f>HEX2DEC(C2)</f>
        <v>8192</v>
      </c>
      <c r="C2" s="1" t="s">
        <v>757</v>
      </c>
      <c r="F2" s="33" t="s">
        <v>758</v>
      </c>
      <c r="I2" s="35"/>
    </row>
    <row r="3" s="33" customFormat="1" spans="1:9">
      <c r="A3" s="33">
        <v>1</v>
      </c>
      <c r="B3" s="34">
        <f>$B$2+A3-1</f>
        <v>8192</v>
      </c>
      <c r="C3" s="34" t="str">
        <f t="shared" ref="C3:C66" si="0">DEC2HEX(B3,4)</f>
        <v>2000</v>
      </c>
      <c r="E3" s="33" t="s">
        <v>132</v>
      </c>
      <c r="F3" s="33" t="s">
        <v>239</v>
      </c>
      <c r="G3" s="33" t="s">
        <v>231</v>
      </c>
      <c r="H3" s="33" t="s">
        <v>232</v>
      </c>
      <c r="I3" s="35"/>
    </row>
    <row r="4" s="33" customFormat="1" spans="1:9">
      <c r="A4" s="33">
        <v>2</v>
      </c>
      <c r="B4" s="34">
        <f>$B$2+A4-1</f>
        <v>8193</v>
      </c>
      <c r="C4" s="34" t="str">
        <f t="shared" si="0"/>
        <v>2001</v>
      </c>
      <c r="E4" s="1" t="s">
        <v>132</v>
      </c>
      <c r="F4" s="1" t="s">
        <v>240</v>
      </c>
      <c r="G4" s="1" t="s">
        <v>231</v>
      </c>
      <c r="H4" s="1" t="s">
        <v>234</v>
      </c>
      <c r="I4" s="35"/>
    </row>
    <row r="5" s="33" customFormat="1" spans="1:9">
      <c r="A5" s="33">
        <v>3</v>
      </c>
      <c r="B5" s="34">
        <f>$B$2+A5-1</f>
        <v>8194</v>
      </c>
      <c r="C5" s="34" t="str">
        <f t="shared" si="0"/>
        <v>2002</v>
      </c>
      <c r="E5" s="1" t="s">
        <v>132</v>
      </c>
      <c r="F5" s="1" t="s">
        <v>241</v>
      </c>
      <c r="G5" s="1" t="s">
        <v>231</v>
      </c>
      <c r="H5" s="1" t="s">
        <v>236</v>
      </c>
      <c r="I5" s="35"/>
    </row>
    <row r="6" s="33" customFormat="1" spans="1:9">
      <c r="A6" s="33">
        <v>4</v>
      </c>
      <c r="B6" s="34">
        <f>$B$2+A6-1</f>
        <v>8195</v>
      </c>
      <c r="C6" s="34" t="str">
        <f t="shared" si="0"/>
        <v>2003</v>
      </c>
      <c r="E6" s="1" t="s">
        <v>132</v>
      </c>
      <c r="F6" s="1" t="s">
        <v>242</v>
      </c>
      <c r="G6" s="1" t="s">
        <v>231</v>
      </c>
      <c r="H6" s="1" t="s">
        <v>364</v>
      </c>
      <c r="I6" s="35"/>
    </row>
    <row r="7" s="33" customFormat="1" spans="1:9">
      <c r="A7" s="33">
        <v>5</v>
      </c>
      <c r="B7" s="34">
        <f>$B$2+A7-1</f>
        <v>8196</v>
      </c>
      <c r="C7" s="34" t="str">
        <f t="shared" si="0"/>
        <v>2004</v>
      </c>
      <c r="E7" s="1"/>
      <c r="F7" s="1"/>
      <c r="G7" s="1"/>
      <c r="H7" s="1"/>
      <c r="I7" s="35"/>
    </row>
    <row r="8" s="33" customFormat="1" spans="1:9">
      <c r="A8" s="33">
        <v>6</v>
      </c>
      <c r="B8" s="34">
        <f>$B$2+A8-1</f>
        <v>8197</v>
      </c>
      <c r="C8" s="34" t="str">
        <f t="shared" si="0"/>
        <v>2005</v>
      </c>
      <c r="I8" s="35"/>
    </row>
    <row r="9" s="33" customFormat="1" spans="1:9">
      <c r="A9" s="33">
        <v>7</v>
      </c>
      <c r="B9" s="34">
        <f>$B$2+A9-1</f>
        <v>8198</v>
      </c>
      <c r="C9" s="34" t="str">
        <f t="shared" si="0"/>
        <v>2006</v>
      </c>
      <c r="I9" s="35"/>
    </row>
    <row r="10" s="33" customFormat="1" spans="1:9">
      <c r="A10" s="33">
        <v>8</v>
      </c>
      <c r="B10" s="34">
        <f>$B$2+A10-1</f>
        <v>8199</v>
      </c>
      <c r="C10" s="34" t="str">
        <f t="shared" si="0"/>
        <v>2007</v>
      </c>
      <c r="I10" s="35"/>
    </row>
    <row r="11" s="33" customFormat="1" spans="1:9">
      <c r="A11" s="33">
        <v>9</v>
      </c>
      <c r="B11" s="34">
        <f>$B$2+A11-1</f>
        <v>8200</v>
      </c>
      <c r="C11" s="34" t="str">
        <f t="shared" si="0"/>
        <v>2008</v>
      </c>
      <c r="I11" s="35"/>
    </row>
    <row r="12" s="33" customFormat="1" spans="1:9">
      <c r="A12" s="33">
        <v>10</v>
      </c>
      <c r="B12" s="34">
        <f>$B$2+A12-1</f>
        <v>8201</v>
      </c>
      <c r="C12" s="34" t="str">
        <f t="shared" si="0"/>
        <v>2009</v>
      </c>
      <c r="I12" s="35"/>
    </row>
    <row r="13" s="33" customFormat="1" spans="1:9">
      <c r="A13" s="33">
        <v>11</v>
      </c>
      <c r="B13" s="34">
        <f>$B$2+A13-1</f>
        <v>8202</v>
      </c>
      <c r="C13" s="34" t="str">
        <f t="shared" si="0"/>
        <v>200A</v>
      </c>
      <c r="I13" s="35"/>
    </row>
    <row r="14" s="33" customFormat="1" spans="1:9">
      <c r="A14" s="33">
        <v>12</v>
      </c>
      <c r="B14" s="34">
        <f>$B$2+A14-1</f>
        <v>8203</v>
      </c>
      <c r="C14" s="34" t="str">
        <f t="shared" si="0"/>
        <v>200B</v>
      </c>
      <c r="I14" s="35"/>
    </row>
    <row r="15" s="33" customFormat="1" spans="1:9">
      <c r="A15" s="33">
        <v>13</v>
      </c>
      <c r="B15" s="34">
        <f>$B$2+A15-1</f>
        <v>8204</v>
      </c>
      <c r="C15" s="34" t="str">
        <f t="shared" si="0"/>
        <v>200C</v>
      </c>
      <c r="I15" s="35"/>
    </row>
    <row r="16" s="33" customFormat="1" spans="1:9">
      <c r="A16" s="33">
        <v>14</v>
      </c>
      <c r="B16" s="34">
        <f>$B$2+A16-1</f>
        <v>8205</v>
      </c>
      <c r="C16" s="34" t="str">
        <f t="shared" si="0"/>
        <v>200D</v>
      </c>
      <c r="F16" s="1"/>
      <c r="I16" s="35"/>
    </row>
    <row r="17" s="33" customFormat="1" spans="1:9">
      <c r="A17" s="33">
        <v>15</v>
      </c>
      <c r="B17" s="34">
        <f>$B$2+A17-1</f>
        <v>8206</v>
      </c>
      <c r="C17" s="34" t="str">
        <f t="shared" si="0"/>
        <v>200E</v>
      </c>
      <c r="F17" s="1"/>
      <c r="I17" s="35"/>
    </row>
    <row r="18" spans="1:8">
      <c r="A18" s="33">
        <v>16</v>
      </c>
      <c r="B18" s="34">
        <f>$B$2+A18-1</f>
        <v>8207</v>
      </c>
      <c r="C18" s="34" t="str">
        <f t="shared" si="0"/>
        <v>200F</v>
      </c>
      <c r="E18" s="33"/>
      <c r="F18" s="1"/>
      <c r="G18" s="33"/>
      <c r="H18" s="33"/>
    </row>
  </sheetData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20"/>
  <sheetViews>
    <sheetView zoomScale="115" zoomScaleNormal="115" workbookViewId="0">
      <selection activeCell="M147" sqref="M147"/>
    </sheetView>
  </sheetViews>
  <sheetFormatPr defaultColWidth="8.73636363636364" defaultRowHeight="14"/>
  <cols>
    <col min="1" max="1" width="5.55454545454545" customWidth="1"/>
    <col min="2" max="2" width="14" customWidth="1"/>
    <col min="3" max="3" width="5.55454545454545" customWidth="1"/>
    <col min="4" max="4" width="7.55454545454545" customWidth="1"/>
    <col min="5" max="5" width="5.55454545454545" customWidth="1"/>
    <col min="6" max="6" width="20.6363636363636" customWidth="1"/>
    <col min="7" max="7" width="9.72727272727273" style="34" customWidth="1"/>
    <col min="8" max="8" width="6.55454545454545" style="34" customWidth="1"/>
    <col min="9" max="9" width="55.7363636363636" customWidth="1"/>
    <col min="10" max="11" width="7.55454545454545" customWidth="1"/>
    <col min="16" max="16" width="9.55454545454545" style="34" customWidth="1"/>
    <col min="17" max="17" width="27.5454545454545" style="34" customWidth="1"/>
    <col min="18" max="18" width="9.55454545454545" style="34" customWidth="1"/>
    <col min="19" max="19" width="7.55454545454545" customWidth="1"/>
    <col min="20" max="20" width="21.9090909090909" customWidth="1"/>
  </cols>
  <sheetData>
    <row r="1" spans="1:11">
      <c r="A1" s="33" t="s">
        <v>99</v>
      </c>
      <c r="B1" s="33" t="s">
        <v>100</v>
      </c>
      <c r="C1" s="33" t="s">
        <v>101</v>
      </c>
      <c r="D1" s="33" t="s">
        <v>102</v>
      </c>
      <c r="E1" s="33" t="s">
        <v>103</v>
      </c>
      <c r="F1" s="33" t="s">
        <v>104</v>
      </c>
      <c r="G1" s="33" t="s">
        <v>105</v>
      </c>
      <c r="H1" s="33" t="s">
        <v>106</v>
      </c>
      <c r="I1" s="33" t="s">
        <v>107</v>
      </c>
      <c r="J1" s="33" t="s">
        <v>108</v>
      </c>
      <c r="K1" s="33" t="s">
        <v>109</v>
      </c>
    </row>
    <row r="2" s="33" customFormat="1" spans="2:9">
      <c r="B2" s="33">
        <f>HEX2DEC(C2)</f>
        <v>16384</v>
      </c>
      <c r="C2" s="1" t="s">
        <v>759</v>
      </c>
      <c r="F2" s="33" t="s">
        <v>760</v>
      </c>
      <c r="I2" s="35"/>
    </row>
    <row r="3" s="33" customFormat="1" ht="347" customHeight="1" spans="1:9">
      <c r="A3" s="33">
        <v>1</v>
      </c>
      <c r="B3" s="34">
        <f>$B$2+A3-1</f>
        <v>16384</v>
      </c>
      <c r="C3" s="34" t="str">
        <f t="shared" ref="C3:C18" si="0">DEC2HEX(B3,4)</f>
        <v>4000</v>
      </c>
      <c r="F3" s="33" t="s">
        <v>761</v>
      </c>
      <c r="G3" s="35" t="s">
        <v>114</v>
      </c>
      <c r="I3" s="36" t="s">
        <v>762</v>
      </c>
    </row>
    <row r="4" s="33" customFormat="1" spans="1:9">
      <c r="A4" s="33">
        <v>2</v>
      </c>
      <c r="B4" s="34">
        <f>$B$2+A4-1</f>
        <v>16385</v>
      </c>
      <c r="C4" s="34" t="str">
        <f t="shared" si="0"/>
        <v>4001</v>
      </c>
      <c r="F4" s="33" t="s">
        <v>763</v>
      </c>
      <c r="G4" s="35" t="s">
        <v>114</v>
      </c>
      <c r="H4" s="1"/>
      <c r="I4" s="37" t="s">
        <v>391</v>
      </c>
    </row>
    <row r="5" s="33" customFormat="1" spans="1:9">
      <c r="A5" s="33">
        <v>3</v>
      </c>
      <c r="B5" s="34">
        <f>$B$2+A5-1</f>
        <v>16386</v>
      </c>
      <c r="C5" s="34" t="str">
        <f t="shared" si="0"/>
        <v>4002</v>
      </c>
      <c r="F5" s="33" t="s">
        <v>763</v>
      </c>
      <c r="G5" s="35" t="s">
        <v>114</v>
      </c>
      <c r="I5" s="35" t="s">
        <v>764</v>
      </c>
    </row>
    <row r="6" s="33" customFormat="1" spans="1:9">
      <c r="A6" s="33">
        <v>4</v>
      </c>
      <c r="B6" s="34">
        <f>$B$2+A6-1</f>
        <v>16387</v>
      </c>
      <c r="C6" s="34" t="str">
        <f t="shared" si="0"/>
        <v>4003</v>
      </c>
      <c r="F6" s="33" t="s">
        <v>763</v>
      </c>
      <c r="G6" s="35" t="s">
        <v>114</v>
      </c>
      <c r="I6" s="35"/>
    </row>
    <row r="7" s="33" customFormat="1" spans="1:9">
      <c r="A7" s="33">
        <v>5</v>
      </c>
      <c r="B7" s="34">
        <f>$B$2+A7-1</f>
        <v>16388</v>
      </c>
      <c r="C7" s="34" t="str">
        <f t="shared" si="0"/>
        <v>4004</v>
      </c>
      <c r="F7" s="33" t="s">
        <v>763</v>
      </c>
      <c r="G7" s="35" t="s">
        <v>114</v>
      </c>
      <c r="I7" s="36"/>
    </row>
    <row r="8" s="33" customFormat="1" spans="1:9">
      <c r="A8" s="33">
        <v>6</v>
      </c>
      <c r="B8" s="34">
        <f>$B$2+A8-1</f>
        <v>16389</v>
      </c>
      <c r="C8" s="34" t="str">
        <f t="shared" si="0"/>
        <v>4005</v>
      </c>
      <c r="F8" s="33" t="s">
        <v>763</v>
      </c>
      <c r="G8" s="35" t="s">
        <v>114</v>
      </c>
      <c r="I8" s="36"/>
    </row>
    <row r="9" s="33" customFormat="1" spans="1:7">
      <c r="A9" s="33">
        <v>7</v>
      </c>
      <c r="B9" s="34">
        <f>$B$2+A9-1</f>
        <v>16390</v>
      </c>
      <c r="C9" s="34" t="str">
        <f t="shared" si="0"/>
        <v>4006</v>
      </c>
      <c r="F9" s="33" t="s">
        <v>763</v>
      </c>
      <c r="G9" s="35" t="s">
        <v>114</v>
      </c>
    </row>
    <row r="10" s="33" customFormat="1" spans="1:9">
      <c r="A10" s="33">
        <v>8</v>
      </c>
      <c r="B10" s="34">
        <f>$B$2+A10-1</f>
        <v>16391</v>
      </c>
      <c r="C10" s="34" t="str">
        <f t="shared" si="0"/>
        <v>4007</v>
      </c>
      <c r="F10" s="33" t="s">
        <v>763</v>
      </c>
      <c r="G10" s="35" t="s">
        <v>114</v>
      </c>
      <c r="I10" s="35"/>
    </row>
    <row r="11" s="33" customFormat="1" spans="1:9">
      <c r="A11" s="33">
        <v>9</v>
      </c>
      <c r="B11" s="34">
        <f>$B$2+A11-1</f>
        <v>16392</v>
      </c>
      <c r="C11" s="34" t="str">
        <f t="shared" si="0"/>
        <v>4008</v>
      </c>
      <c r="F11" s="33" t="s">
        <v>763</v>
      </c>
      <c r="G11" s="35" t="s">
        <v>114</v>
      </c>
      <c r="I11" s="35"/>
    </row>
    <row r="12" s="33" customFormat="1" spans="1:9">
      <c r="A12" s="33">
        <v>10</v>
      </c>
      <c r="B12" s="34">
        <f>$B$2+A12-1</f>
        <v>16393</v>
      </c>
      <c r="C12" s="34" t="str">
        <f t="shared" si="0"/>
        <v>4009</v>
      </c>
      <c r="F12" s="33" t="s">
        <v>763</v>
      </c>
      <c r="G12" s="35" t="s">
        <v>114</v>
      </c>
      <c r="I12" s="35"/>
    </row>
    <row r="13" s="33" customFormat="1" spans="1:9">
      <c r="A13" s="33">
        <v>11</v>
      </c>
      <c r="B13" s="34">
        <f>$B$2+A13-1</f>
        <v>16394</v>
      </c>
      <c r="C13" s="34" t="str">
        <f t="shared" si="0"/>
        <v>400A</v>
      </c>
      <c r="F13" s="33" t="s">
        <v>763</v>
      </c>
      <c r="G13" s="35" t="s">
        <v>114</v>
      </c>
      <c r="I13" s="35"/>
    </row>
    <row r="14" s="33" customFormat="1" spans="1:9">
      <c r="A14" s="33">
        <v>12</v>
      </c>
      <c r="B14" s="34">
        <f>$B$2+A14-1</f>
        <v>16395</v>
      </c>
      <c r="C14" s="34" t="str">
        <f t="shared" si="0"/>
        <v>400B</v>
      </c>
      <c r="F14" s="33" t="s">
        <v>763</v>
      </c>
      <c r="G14" s="35" t="s">
        <v>114</v>
      </c>
      <c r="I14" s="35"/>
    </row>
    <row r="15" s="33" customFormat="1" spans="1:9">
      <c r="A15" s="33">
        <v>13</v>
      </c>
      <c r="B15" s="34">
        <f>$B$2+A15-1</f>
        <v>16396</v>
      </c>
      <c r="C15" s="34" t="str">
        <f t="shared" si="0"/>
        <v>400C</v>
      </c>
      <c r="F15" s="33" t="s">
        <v>763</v>
      </c>
      <c r="G15" s="35" t="s">
        <v>114</v>
      </c>
      <c r="I15" s="36"/>
    </row>
    <row r="16" s="33" customFormat="1" spans="1:9">
      <c r="A16" s="33">
        <v>14</v>
      </c>
      <c r="B16" s="34">
        <f>$B$2+A16-1</f>
        <v>16397</v>
      </c>
      <c r="C16" s="34" t="str">
        <f t="shared" si="0"/>
        <v>400D</v>
      </c>
      <c r="F16" s="33" t="s">
        <v>763</v>
      </c>
      <c r="G16" s="35" t="s">
        <v>114</v>
      </c>
      <c r="I16" s="36"/>
    </row>
    <row r="17" s="33" customFormat="1" spans="1:9">
      <c r="A17" s="33">
        <v>15</v>
      </c>
      <c r="B17" s="34">
        <f>$B$2+A17-1</f>
        <v>16398</v>
      </c>
      <c r="C17" s="34" t="str">
        <f t="shared" si="0"/>
        <v>400E</v>
      </c>
      <c r="F17" s="33" t="s">
        <v>763</v>
      </c>
      <c r="G17" s="35" t="s">
        <v>114</v>
      </c>
      <c r="I17" s="35"/>
    </row>
    <row r="18" spans="1:8">
      <c r="A18" s="33">
        <v>16</v>
      </c>
      <c r="B18" s="34">
        <f>$B$2+A18-1</f>
        <v>16399</v>
      </c>
      <c r="C18" s="34" t="str">
        <f t="shared" si="0"/>
        <v>400F</v>
      </c>
      <c r="E18" s="33"/>
      <c r="F18" s="33" t="s">
        <v>763</v>
      </c>
      <c r="G18" s="35" t="s">
        <v>114</v>
      </c>
      <c r="H18" s="33"/>
    </row>
    <row r="19" spans="1:7">
      <c r="A19" s="33">
        <v>17</v>
      </c>
      <c r="B19" s="34">
        <f t="shared" ref="B19:B50" si="1">$B$2+A19-1</f>
        <v>16400</v>
      </c>
      <c r="C19" s="34" t="str">
        <f t="shared" ref="C19:C50" si="2">DEC2HEX(B19,4)</f>
        <v>4010</v>
      </c>
      <c r="F19" s="33" t="s">
        <v>763</v>
      </c>
      <c r="G19" s="35" t="s">
        <v>114</v>
      </c>
    </row>
    <row r="20" spans="1:20">
      <c r="A20" s="33">
        <v>18</v>
      </c>
      <c r="B20" s="34">
        <f t="shared" si="1"/>
        <v>16401</v>
      </c>
      <c r="C20" s="34" t="str">
        <f t="shared" si="2"/>
        <v>4011</v>
      </c>
      <c r="F20" s="33" t="s">
        <v>763</v>
      </c>
      <c r="G20" s="35" t="s">
        <v>114</v>
      </c>
      <c r="P20" s="38"/>
      <c r="Q20" s="38"/>
      <c r="R20" s="38"/>
      <c r="S20" s="38"/>
      <c r="T20" s="38"/>
    </row>
    <row r="21" spans="1:20">
      <c r="A21" s="33">
        <v>19</v>
      </c>
      <c r="B21" s="34">
        <f t="shared" si="1"/>
        <v>16402</v>
      </c>
      <c r="C21" s="34" t="str">
        <f t="shared" si="2"/>
        <v>4012</v>
      </c>
      <c r="F21" s="33" t="s">
        <v>763</v>
      </c>
      <c r="G21" s="35" t="s">
        <v>114</v>
      </c>
      <c r="P21" s="11"/>
      <c r="Q21" s="8"/>
      <c r="R21" s="8"/>
      <c r="S21" s="8"/>
      <c r="T21" s="11"/>
    </row>
    <row r="22" spans="1:20">
      <c r="A22" s="33">
        <v>20</v>
      </c>
      <c r="B22" s="34">
        <f t="shared" si="1"/>
        <v>16403</v>
      </c>
      <c r="C22" s="34" t="str">
        <f t="shared" si="2"/>
        <v>4013</v>
      </c>
      <c r="F22" s="33" t="s">
        <v>763</v>
      </c>
      <c r="G22" s="35" t="s">
        <v>114</v>
      </c>
      <c r="P22" s="8"/>
      <c r="Q22" s="8"/>
      <c r="R22" s="8"/>
      <c r="S22" s="8"/>
      <c r="T22" s="19"/>
    </row>
    <row r="23" spans="1:20">
      <c r="A23" s="33">
        <v>21</v>
      </c>
      <c r="B23" s="34">
        <f t="shared" si="1"/>
        <v>16404</v>
      </c>
      <c r="C23" s="34" t="str">
        <f t="shared" si="2"/>
        <v>4014</v>
      </c>
      <c r="F23" s="33" t="s">
        <v>763</v>
      </c>
      <c r="G23" s="35" t="s">
        <v>114</v>
      </c>
      <c r="P23" s="8"/>
      <c r="Q23" s="8"/>
      <c r="R23" s="8"/>
      <c r="S23" s="8"/>
      <c r="T23" s="19"/>
    </row>
    <row r="24" spans="1:20">
      <c r="A24" s="33">
        <v>22</v>
      </c>
      <c r="B24" s="34">
        <f t="shared" si="1"/>
        <v>16405</v>
      </c>
      <c r="C24" s="34" t="str">
        <f t="shared" si="2"/>
        <v>4015</v>
      </c>
      <c r="F24" s="33" t="s">
        <v>763</v>
      </c>
      <c r="G24" s="35" t="s">
        <v>114</v>
      </c>
      <c r="P24" s="8"/>
      <c r="Q24" s="8"/>
      <c r="R24" s="8"/>
      <c r="S24" s="8"/>
      <c r="T24" s="19"/>
    </row>
    <row r="25" spans="1:20">
      <c r="A25" s="33">
        <v>23</v>
      </c>
      <c r="B25" s="34">
        <f t="shared" si="1"/>
        <v>16406</v>
      </c>
      <c r="C25" s="34" t="str">
        <f t="shared" si="2"/>
        <v>4016</v>
      </c>
      <c r="F25" s="33" t="s">
        <v>763</v>
      </c>
      <c r="G25" s="35" t="s">
        <v>114</v>
      </c>
      <c r="P25" s="8"/>
      <c r="Q25" s="8"/>
      <c r="R25" s="8"/>
      <c r="S25" s="8"/>
      <c r="T25" s="19"/>
    </row>
    <row r="26" spans="1:20">
      <c r="A26" s="33">
        <v>24</v>
      </c>
      <c r="B26" s="34">
        <f t="shared" si="1"/>
        <v>16407</v>
      </c>
      <c r="C26" s="34" t="str">
        <f t="shared" si="2"/>
        <v>4017</v>
      </c>
      <c r="F26" s="33" t="s">
        <v>763</v>
      </c>
      <c r="G26" s="35" t="s">
        <v>114</v>
      </c>
      <c r="P26" s="8"/>
      <c r="Q26" s="8"/>
      <c r="R26" s="8"/>
      <c r="S26" s="8"/>
      <c r="T26" s="19"/>
    </row>
    <row r="27" spans="1:20">
      <c r="A27" s="33">
        <v>25</v>
      </c>
      <c r="B27" s="34">
        <f t="shared" si="1"/>
        <v>16408</v>
      </c>
      <c r="C27" s="34" t="str">
        <f t="shared" si="2"/>
        <v>4018</v>
      </c>
      <c r="F27" s="33" t="s">
        <v>763</v>
      </c>
      <c r="G27" s="35" t="s">
        <v>114</v>
      </c>
      <c r="P27" s="8"/>
      <c r="Q27" s="8"/>
      <c r="R27" s="8"/>
      <c r="S27" s="8"/>
      <c r="T27" s="14"/>
    </row>
    <row r="28" spans="1:20">
      <c r="A28" s="33">
        <v>26</v>
      </c>
      <c r="B28" s="34">
        <f t="shared" si="1"/>
        <v>16409</v>
      </c>
      <c r="C28" s="34" t="str">
        <f t="shared" si="2"/>
        <v>4019</v>
      </c>
      <c r="F28" s="33" t="s">
        <v>763</v>
      </c>
      <c r="G28" s="35" t="s">
        <v>114</v>
      </c>
      <c r="P28" s="8"/>
      <c r="Q28" s="8"/>
      <c r="R28" s="8"/>
      <c r="S28" s="8"/>
      <c r="T28" s="14"/>
    </row>
    <row r="29" spans="1:20">
      <c r="A29" s="33">
        <v>27</v>
      </c>
      <c r="B29" s="34">
        <f t="shared" si="1"/>
        <v>16410</v>
      </c>
      <c r="C29" s="34" t="str">
        <f t="shared" si="2"/>
        <v>401A</v>
      </c>
      <c r="F29" s="33" t="s">
        <v>763</v>
      </c>
      <c r="G29" s="35" t="s">
        <v>114</v>
      </c>
      <c r="P29" s="8"/>
      <c r="Q29" s="8"/>
      <c r="R29" s="8"/>
      <c r="S29" s="8"/>
      <c r="T29" s="14"/>
    </row>
    <row r="30" spans="1:20">
      <c r="A30" s="33">
        <v>28</v>
      </c>
      <c r="B30" s="34">
        <f t="shared" si="1"/>
        <v>16411</v>
      </c>
      <c r="C30" s="34" t="str">
        <f t="shared" si="2"/>
        <v>401B</v>
      </c>
      <c r="F30" s="33" t="s">
        <v>763</v>
      </c>
      <c r="G30" s="35" t="s">
        <v>114</v>
      </c>
      <c r="P30" s="8"/>
      <c r="Q30" s="8"/>
      <c r="R30" s="8"/>
      <c r="S30" s="8"/>
      <c r="T30" s="14"/>
    </row>
    <row r="31" spans="1:20">
      <c r="A31" s="33">
        <v>29</v>
      </c>
      <c r="B31" s="34">
        <f t="shared" si="1"/>
        <v>16412</v>
      </c>
      <c r="C31" s="34" t="str">
        <f t="shared" si="2"/>
        <v>401C</v>
      </c>
      <c r="F31" s="33" t="s">
        <v>763</v>
      </c>
      <c r="G31" s="35" t="s">
        <v>114</v>
      </c>
      <c r="P31" s="8"/>
      <c r="Q31" s="11"/>
      <c r="R31" s="8"/>
      <c r="S31" s="8"/>
      <c r="T31" s="19"/>
    </row>
    <row r="32" spans="1:20">
      <c r="A32" s="33">
        <v>30</v>
      </c>
      <c r="B32" s="34">
        <f t="shared" si="1"/>
        <v>16413</v>
      </c>
      <c r="C32" s="34" t="str">
        <f t="shared" si="2"/>
        <v>401D</v>
      </c>
      <c r="F32" s="33" t="s">
        <v>763</v>
      </c>
      <c r="G32" s="35" t="s">
        <v>114</v>
      </c>
      <c r="P32" s="8"/>
      <c r="Q32" s="11"/>
      <c r="R32" s="8"/>
      <c r="S32" s="8"/>
      <c r="T32" s="14"/>
    </row>
    <row r="33" spans="1:20">
      <c r="A33" s="33">
        <v>31</v>
      </c>
      <c r="B33" s="34">
        <f t="shared" si="1"/>
        <v>16414</v>
      </c>
      <c r="C33" s="34" t="str">
        <f t="shared" si="2"/>
        <v>401E</v>
      </c>
      <c r="F33" s="33" t="s">
        <v>763</v>
      </c>
      <c r="G33" s="35" t="s">
        <v>114</v>
      </c>
      <c r="P33" s="8"/>
      <c r="Q33" s="11"/>
      <c r="R33" s="8"/>
      <c r="S33" s="8"/>
      <c r="T33" s="14"/>
    </row>
    <row r="34" spans="1:20">
      <c r="A34" s="33">
        <v>32</v>
      </c>
      <c r="B34" s="34">
        <f t="shared" si="1"/>
        <v>16415</v>
      </c>
      <c r="C34" s="34" t="str">
        <f t="shared" si="2"/>
        <v>401F</v>
      </c>
      <c r="F34" s="33" t="s">
        <v>763</v>
      </c>
      <c r="G34" s="35" t="s">
        <v>114</v>
      </c>
      <c r="P34" s="8"/>
      <c r="Q34" s="11"/>
      <c r="R34" s="8"/>
      <c r="S34" s="8"/>
      <c r="T34" s="14"/>
    </row>
    <row r="35" spans="1:20">
      <c r="A35" s="33">
        <v>33</v>
      </c>
      <c r="B35" s="34">
        <f t="shared" si="1"/>
        <v>16416</v>
      </c>
      <c r="C35" s="34" t="str">
        <f t="shared" si="2"/>
        <v>4020</v>
      </c>
      <c r="F35" s="33" t="s">
        <v>763</v>
      </c>
      <c r="G35" s="35" t="s">
        <v>114</v>
      </c>
      <c r="P35" s="8"/>
      <c r="Q35" s="11"/>
      <c r="R35" s="8"/>
      <c r="S35" s="8"/>
      <c r="T35" s="14"/>
    </row>
    <row r="36" spans="1:20">
      <c r="A36" s="33">
        <v>34</v>
      </c>
      <c r="B36" s="34">
        <f t="shared" si="1"/>
        <v>16417</v>
      </c>
      <c r="C36" s="34" t="str">
        <f t="shared" si="2"/>
        <v>4021</v>
      </c>
      <c r="F36" s="33" t="s">
        <v>763</v>
      </c>
      <c r="G36" s="35" t="s">
        <v>114</v>
      </c>
      <c r="P36" s="8"/>
      <c r="Q36" s="11"/>
      <c r="R36" s="8"/>
      <c r="S36" s="8"/>
      <c r="T36" s="14"/>
    </row>
    <row r="37" spans="1:20">
      <c r="A37" s="33">
        <v>35</v>
      </c>
      <c r="B37" s="34">
        <f t="shared" si="1"/>
        <v>16418</v>
      </c>
      <c r="C37" s="34" t="str">
        <f t="shared" si="2"/>
        <v>4022</v>
      </c>
      <c r="F37" s="33" t="s">
        <v>763</v>
      </c>
      <c r="G37" s="35" t="s">
        <v>114</v>
      </c>
      <c r="P37" s="8"/>
      <c r="Q37" s="11"/>
      <c r="R37" s="8"/>
      <c r="S37" s="8"/>
      <c r="T37" s="14"/>
    </row>
    <row r="38" spans="1:20">
      <c r="A38" s="33">
        <v>36</v>
      </c>
      <c r="B38" s="34">
        <f t="shared" si="1"/>
        <v>16419</v>
      </c>
      <c r="C38" s="34" t="str">
        <f t="shared" si="2"/>
        <v>4023</v>
      </c>
      <c r="F38" s="33" t="s">
        <v>763</v>
      </c>
      <c r="G38" s="35" t="s">
        <v>114</v>
      </c>
      <c r="P38" s="8"/>
      <c r="Q38" s="11"/>
      <c r="R38" s="8"/>
      <c r="S38" s="11"/>
      <c r="T38" s="15"/>
    </row>
    <row r="39" spans="1:20">
      <c r="A39" s="33">
        <v>37</v>
      </c>
      <c r="B39" s="34">
        <f t="shared" si="1"/>
        <v>16420</v>
      </c>
      <c r="C39" s="34" t="str">
        <f t="shared" si="2"/>
        <v>4024</v>
      </c>
      <c r="F39" s="33" t="s">
        <v>763</v>
      </c>
      <c r="G39" s="35" t="s">
        <v>114</v>
      </c>
      <c r="P39" s="8"/>
      <c r="Q39" s="11"/>
      <c r="R39" s="8"/>
      <c r="S39" s="11"/>
      <c r="T39" s="22"/>
    </row>
    <row r="40" spans="1:20">
      <c r="A40" s="33">
        <v>38</v>
      </c>
      <c r="B40" s="34">
        <f t="shared" si="1"/>
        <v>16421</v>
      </c>
      <c r="C40" s="34" t="str">
        <f t="shared" si="2"/>
        <v>4025</v>
      </c>
      <c r="F40" s="33" t="s">
        <v>763</v>
      </c>
      <c r="G40" s="35" t="s">
        <v>114</v>
      </c>
      <c r="P40" s="8"/>
      <c r="Q40" s="11"/>
      <c r="R40" s="8"/>
      <c r="S40" s="11"/>
      <c r="T40" s="15"/>
    </row>
    <row r="41" spans="1:20">
      <c r="A41" s="33">
        <v>39</v>
      </c>
      <c r="B41" s="34">
        <f t="shared" si="1"/>
        <v>16422</v>
      </c>
      <c r="C41" s="34" t="str">
        <f t="shared" si="2"/>
        <v>4026</v>
      </c>
      <c r="F41" s="33" t="s">
        <v>763</v>
      </c>
      <c r="G41" s="35" t="s">
        <v>114</v>
      </c>
      <c r="P41" s="8"/>
      <c r="Q41" s="11"/>
      <c r="R41" s="8"/>
      <c r="S41" s="8"/>
      <c r="T41" s="15"/>
    </row>
    <row r="42" spans="1:20">
      <c r="A42" s="33">
        <v>40</v>
      </c>
      <c r="B42" s="34">
        <f t="shared" si="1"/>
        <v>16423</v>
      </c>
      <c r="C42" s="34" t="str">
        <f t="shared" si="2"/>
        <v>4027</v>
      </c>
      <c r="F42" s="33" t="s">
        <v>763</v>
      </c>
      <c r="G42" s="35" t="s">
        <v>114</v>
      </c>
      <c r="P42" s="8"/>
      <c r="Q42" s="11"/>
      <c r="R42" s="8"/>
      <c r="S42" s="11"/>
      <c r="T42" s="15"/>
    </row>
    <row r="43" spans="1:20">
      <c r="A43" s="33">
        <v>41</v>
      </c>
      <c r="B43" s="34">
        <f t="shared" si="1"/>
        <v>16424</v>
      </c>
      <c r="C43" s="34" t="str">
        <f t="shared" si="2"/>
        <v>4028</v>
      </c>
      <c r="F43" s="33" t="s">
        <v>763</v>
      </c>
      <c r="G43" s="35" t="s">
        <v>114</v>
      </c>
      <c r="P43" s="8"/>
      <c r="Q43" s="11"/>
      <c r="R43" s="8"/>
      <c r="S43" s="11"/>
      <c r="T43" s="15"/>
    </row>
    <row r="44" spans="1:20">
      <c r="A44" s="33">
        <v>42</v>
      </c>
      <c r="B44" s="34">
        <f t="shared" si="1"/>
        <v>16425</v>
      </c>
      <c r="C44" s="34" t="str">
        <f t="shared" si="2"/>
        <v>4029</v>
      </c>
      <c r="F44" s="33" t="s">
        <v>763</v>
      </c>
      <c r="G44" s="35" t="s">
        <v>114</v>
      </c>
      <c r="P44" s="8"/>
      <c r="Q44" s="11"/>
      <c r="R44" s="8"/>
      <c r="S44" s="11"/>
      <c r="T44" s="15"/>
    </row>
    <row r="45" spans="1:20">
      <c r="A45" s="33">
        <v>43</v>
      </c>
      <c r="B45" s="34">
        <f t="shared" si="1"/>
        <v>16426</v>
      </c>
      <c r="C45" s="34" t="str">
        <f t="shared" si="2"/>
        <v>402A</v>
      </c>
      <c r="F45" s="33" t="s">
        <v>763</v>
      </c>
      <c r="G45" s="35" t="s">
        <v>114</v>
      </c>
      <c r="P45" s="8"/>
      <c r="Q45" s="11"/>
      <c r="R45" s="8"/>
      <c r="S45" s="11"/>
      <c r="T45" s="22"/>
    </row>
    <row r="46" spans="1:20">
      <c r="A46" s="33">
        <v>44</v>
      </c>
      <c r="B46" s="34">
        <f t="shared" si="1"/>
        <v>16427</v>
      </c>
      <c r="C46" s="34" t="str">
        <f t="shared" si="2"/>
        <v>402B</v>
      </c>
      <c r="F46" s="33" t="s">
        <v>763</v>
      </c>
      <c r="G46" s="35" t="s">
        <v>114</v>
      </c>
      <c r="P46" s="8"/>
      <c r="Q46" s="11"/>
      <c r="R46" s="8"/>
      <c r="S46" s="8"/>
      <c r="T46" s="15"/>
    </row>
    <row r="47" spans="1:20">
      <c r="A47" s="33">
        <v>45</v>
      </c>
      <c r="B47" s="34">
        <f t="shared" si="1"/>
        <v>16428</v>
      </c>
      <c r="C47" s="34" t="str">
        <f t="shared" si="2"/>
        <v>402C</v>
      </c>
      <c r="F47" s="33" t="s">
        <v>763</v>
      </c>
      <c r="G47" s="35" t="s">
        <v>114</v>
      </c>
      <c r="P47" s="8"/>
      <c r="Q47" s="11"/>
      <c r="R47" s="8"/>
      <c r="S47" s="11"/>
      <c r="T47" s="15"/>
    </row>
    <row r="48" spans="1:20">
      <c r="A48" s="33">
        <v>46</v>
      </c>
      <c r="B48" s="34">
        <f t="shared" si="1"/>
        <v>16429</v>
      </c>
      <c r="C48" s="34" t="str">
        <f t="shared" si="2"/>
        <v>402D</v>
      </c>
      <c r="F48" s="33" t="s">
        <v>763</v>
      </c>
      <c r="G48" s="35" t="s">
        <v>114</v>
      </c>
      <c r="P48" s="8"/>
      <c r="Q48" s="11"/>
      <c r="R48" s="8"/>
      <c r="S48" s="11"/>
      <c r="T48" s="15"/>
    </row>
    <row r="49" spans="1:20">
      <c r="A49" s="33">
        <v>47</v>
      </c>
      <c r="B49" s="34">
        <f t="shared" si="1"/>
        <v>16430</v>
      </c>
      <c r="C49" s="34" t="str">
        <f t="shared" si="2"/>
        <v>402E</v>
      </c>
      <c r="F49" s="33" t="s">
        <v>763</v>
      </c>
      <c r="G49" s="35" t="s">
        <v>114</v>
      </c>
      <c r="P49" s="8"/>
      <c r="Q49" s="11"/>
      <c r="R49" s="8"/>
      <c r="S49" s="11"/>
      <c r="T49" s="15"/>
    </row>
    <row r="50" spans="1:20">
      <c r="A50" s="33">
        <v>48</v>
      </c>
      <c r="B50" s="34">
        <f t="shared" si="1"/>
        <v>16431</v>
      </c>
      <c r="C50" s="34" t="str">
        <f t="shared" si="2"/>
        <v>402F</v>
      </c>
      <c r="F50" s="33" t="s">
        <v>763</v>
      </c>
      <c r="G50" s="35" t="s">
        <v>114</v>
      </c>
      <c r="P50" s="8"/>
      <c r="Q50" s="11"/>
      <c r="R50" s="8"/>
      <c r="S50" s="11"/>
      <c r="T50" s="15"/>
    </row>
    <row r="51" spans="1:20">
      <c r="A51" s="33">
        <v>49</v>
      </c>
      <c r="B51" s="34">
        <f t="shared" ref="B51:B82" si="3">$B$2+A51-1</f>
        <v>16432</v>
      </c>
      <c r="C51" s="34" t="str">
        <f t="shared" ref="C51:C82" si="4">DEC2HEX(B51,4)</f>
        <v>4030</v>
      </c>
      <c r="F51" s="33" t="s">
        <v>763</v>
      </c>
      <c r="G51" s="35" t="s">
        <v>114</v>
      </c>
      <c r="P51" s="11"/>
      <c r="Q51" s="11"/>
      <c r="R51" s="11"/>
      <c r="S51" s="23"/>
      <c r="T51" s="23"/>
    </row>
    <row r="52" spans="1:20">
      <c r="A52" s="33">
        <v>50</v>
      </c>
      <c r="B52" s="34">
        <f t="shared" si="3"/>
        <v>16433</v>
      </c>
      <c r="C52" s="34" t="str">
        <f t="shared" si="4"/>
        <v>4031</v>
      </c>
      <c r="F52" s="33" t="s">
        <v>763</v>
      </c>
      <c r="G52" s="35" t="s">
        <v>114</v>
      </c>
      <c r="P52" s="11"/>
      <c r="Q52" s="11"/>
      <c r="R52" s="11"/>
      <c r="S52" s="23"/>
      <c r="T52" s="23"/>
    </row>
    <row r="53" spans="1:20">
      <c r="A53" s="33">
        <v>51</v>
      </c>
      <c r="B53" s="34">
        <f t="shared" si="3"/>
        <v>16434</v>
      </c>
      <c r="C53" s="34" t="str">
        <f t="shared" si="4"/>
        <v>4032</v>
      </c>
      <c r="F53" s="33" t="s">
        <v>763</v>
      </c>
      <c r="G53" s="35" t="s">
        <v>114</v>
      </c>
      <c r="P53" s="11"/>
      <c r="Q53" s="11"/>
      <c r="R53" s="11"/>
      <c r="S53" s="23"/>
      <c r="T53" s="23"/>
    </row>
    <row r="54" spans="1:20">
      <c r="A54" s="33">
        <v>52</v>
      </c>
      <c r="B54" s="34">
        <f t="shared" si="3"/>
        <v>16435</v>
      </c>
      <c r="C54" s="34" t="str">
        <f t="shared" si="4"/>
        <v>4033</v>
      </c>
      <c r="F54" s="33" t="s">
        <v>763</v>
      </c>
      <c r="G54" s="35" t="s">
        <v>114</v>
      </c>
      <c r="H54" s="33"/>
      <c r="P54" s="11"/>
      <c r="Q54" s="11"/>
      <c r="R54" s="11"/>
      <c r="S54" s="23"/>
      <c r="T54" s="23"/>
    </row>
    <row r="55" spans="1:20">
      <c r="A55" s="33">
        <v>53</v>
      </c>
      <c r="B55" s="34">
        <f t="shared" si="3"/>
        <v>16436</v>
      </c>
      <c r="C55" s="34" t="str">
        <f t="shared" si="4"/>
        <v>4034</v>
      </c>
      <c r="F55" s="33" t="s">
        <v>763</v>
      </c>
      <c r="G55" s="35" t="s">
        <v>114</v>
      </c>
      <c r="H55" s="33"/>
      <c r="P55" s="11"/>
      <c r="Q55" s="11"/>
      <c r="R55" s="11"/>
      <c r="S55" s="23"/>
      <c r="T55" s="23"/>
    </row>
    <row r="56" spans="1:20">
      <c r="A56" s="33">
        <v>54</v>
      </c>
      <c r="B56" s="34">
        <f t="shared" si="3"/>
        <v>16437</v>
      </c>
      <c r="C56" s="34" t="str">
        <f t="shared" si="4"/>
        <v>4035</v>
      </c>
      <c r="F56" s="33" t="s">
        <v>763</v>
      </c>
      <c r="G56" s="35" t="s">
        <v>114</v>
      </c>
      <c r="H56" s="33"/>
      <c r="P56" s="38"/>
      <c r="Q56" s="38"/>
      <c r="R56" s="38"/>
      <c r="S56" s="38"/>
      <c r="T56" s="38"/>
    </row>
    <row r="57" spans="1:20">
      <c r="A57" s="33">
        <v>55</v>
      </c>
      <c r="B57" s="34">
        <f t="shared" si="3"/>
        <v>16438</v>
      </c>
      <c r="C57" s="34" t="str">
        <f t="shared" si="4"/>
        <v>4036</v>
      </c>
      <c r="F57" s="33" t="s">
        <v>763</v>
      </c>
      <c r="G57" s="35" t="s">
        <v>114</v>
      </c>
      <c r="H57" s="33"/>
      <c r="P57" s="11"/>
      <c r="Q57" s="8"/>
      <c r="R57" s="8"/>
      <c r="S57" s="8"/>
      <c r="T57" s="11"/>
    </row>
    <row r="58" spans="1:20">
      <c r="A58" s="33">
        <v>56</v>
      </c>
      <c r="B58" s="34">
        <f t="shared" si="3"/>
        <v>16439</v>
      </c>
      <c r="C58" s="34" t="str">
        <f t="shared" si="4"/>
        <v>4037</v>
      </c>
      <c r="F58" s="33" t="s">
        <v>763</v>
      </c>
      <c r="G58" s="35" t="s">
        <v>114</v>
      </c>
      <c r="H58" s="33"/>
      <c r="P58" s="11"/>
      <c r="Q58" s="11"/>
      <c r="R58" s="11"/>
      <c r="S58" s="23"/>
      <c r="T58" s="24"/>
    </row>
    <row r="59" spans="1:20">
      <c r="A59" s="33">
        <v>57</v>
      </c>
      <c r="B59" s="34">
        <f t="shared" si="3"/>
        <v>16440</v>
      </c>
      <c r="C59" s="34" t="str">
        <f t="shared" si="4"/>
        <v>4038</v>
      </c>
      <c r="F59" s="33" t="s">
        <v>763</v>
      </c>
      <c r="G59" s="35" t="s">
        <v>114</v>
      </c>
      <c r="H59" s="33"/>
      <c r="P59" s="11"/>
      <c r="Q59" s="11"/>
      <c r="R59" s="11"/>
      <c r="S59" s="23"/>
      <c r="T59" s="24"/>
    </row>
    <row r="60" spans="1:20">
      <c r="A60" s="33">
        <v>58</v>
      </c>
      <c r="B60" s="34">
        <f t="shared" si="3"/>
        <v>16441</v>
      </c>
      <c r="C60" s="34" t="str">
        <f t="shared" si="4"/>
        <v>4039</v>
      </c>
      <c r="F60" s="33" t="s">
        <v>763</v>
      </c>
      <c r="G60" s="35" t="s">
        <v>114</v>
      </c>
      <c r="H60" s="33"/>
      <c r="P60" s="11"/>
      <c r="Q60" s="11"/>
      <c r="R60" s="11"/>
      <c r="S60" s="23"/>
      <c r="T60" s="24"/>
    </row>
    <row r="61" spans="1:20">
      <c r="A61" s="33">
        <v>59</v>
      </c>
      <c r="B61" s="34">
        <f t="shared" si="3"/>
        <v>16442</v>
      </c>
      <c r="C61" s="34" t="str">
        <f t="shared" si="4"/>
        <v>403A</v>
      </c>
      <c r="F61" s="33" t="s">
        <v>763</v>
      </c>
      <c r="G61" s="35" t="s">
        <v>114</v>
      </c>
      <c r="H61" s="33"/>
      <c r="P61" s="11"/>
      <c r="Q61" s="11"/>
      <c r="R61" s="11"/>
      <c r="S61" s="23"/>
      <c r="T61" s="24"/>
    </row>
    <row r="62" spans="1:20">
      <c r="A62" s="33">
        <v>60</v>
      </c>
      <c r="B62" s="34">
        <f t="shared" si="3"/>
        <v>16443</v>
      </c>
      <c r="C62" s="34" t="str">
        <f t="shared" si="4"/>
        <v>403B</v>
      </c>
      <c r="F62" s="33" t="s">
        <v>763</v>
      </c>
      <c r="G62" s="35" t="s">
        <v>114</v>
      </c>
      <c r="H62" s="33"/>
      <c r="P62" s="11"/>
      <c r="Q62" s="11"/>
      <c r="R62" s="11"/>
      <c r="S62" s="23"/>
      <c r="T62" s="24"/>
    </row>
    <row r="63" spans="1:20">
      <c r="A63" s="33">
        <v>61</v>
      </c>
      <c r="B63" s="34">
        <f t="shared" si="3"/>
        <v>16444</v>
      </c>
      <c r="C63" s="34" t="str">
        <f t="shared" si="4"/>
        <v>403C</v>
      </c>
      <c r="F63" s="33" t="s">
        <v>763</v>
      </c>
      <c r="G63" s="35" t="s">
        <v>114</v>
      </c>
      <c r="H63" s="33"/>
      <c r="P63" s="11"/>
      <c r="Q63" s="11"/>
      <c r="R63" s="11"/>
      <c r="S63" s="23"/>
      <c r="T63" s="24"/>
    </row>
    <row r="64" spans="1:20">
      <c r="A64" s="33">
        <v>62</v>
      </c>
      <c r="B64" s="34">
        <f t="shared" si="3"/>
        <v>16445</v>
      </c>
      <c r="C64" s="34" t="str">
        <f t="shared" si="4"/>
        <v>403D</v>
      </c>
      <c r="F64" s="33" t="s">
        <v>763</v>
      </c>
      <c r="G64" s="35" t="s">
        <v>114</v>
      </c>
      <c r="H64" s="33"/>
      <c r="P64" s="11"/>
      <c r="Q64" s="11"/>
      <c r="R64" s="11"/>
      <c r="S64" s="23"/>
      <c r="T64" s="24"/>
    </row>
    <row r="65" spans="1:20">
      <c r="A65" s="33">
        <v>63</v>
      </c>
      <c r="B65" s="34">
        <f t="shared" si="3"/>
        <v>16446</v>
      </c>
      <c r="C65" s="34" t="str">
        <f t="shared" si="4"/>
        <v>403E</v>
      </c>
      <c r="F65" s="33" t="s">
        <v>763</v>
      </c>
      <c r="G65" s="35" t="s">
        <v>114</v>
      </c>
      <c r="H65" s="33"/>
      <c r="P65" s="11"/>
      <c r="Q65" s="11"/>
      <c r="R65" s="11"/>
      <c r="S65" s="23"/>
      <c r="T65" s="24"/>
    </row>
    <row r="66" spans="1:20">
      <c r="A66" s="33">
        <v>64</v>
      </c>
      <c r="B66" s="34">
        <f t="shared" si="3"/>
        <v>16447</v>
      </c>
      <c r="C66" s="34" t="str">
        <f t="shared" si="4"/>
        <v>403F</v>
      </c>
      <c r="F66" s="33" t="s">
        <v>763</v>
      </c>
      <c r="G66" s="35" t="s">
        <v>114</v>
      </c>
      <c r="H66" s="33"/>
      <c r="P66" s="11"/>
      <c r="Q66" s="11"/>
      <c r="R66" s="11"/>
      <c r="S66" s="23"/>
      <c r="T66" s="24"/>
    </row>
    <row r="67" spans="1:20">
      <c r="A67" s="33">
        <v>65</v>
      </c>
      <c r="B67" s="34">
        <f t="shared" si="3"/>
        <v>16448</v>
      </c>
      <c r="C67" s="34" t="str">
        <f t="shared" si="4"/>
        <v>4040</v>
      </c>
      <c r="F67" s="33" t="s">
        <v>763</v>
      </c>
      <c r="G67" s="35" t="s">
        <v>114</v>
      </c>
      <c r="P67" s="11"/>
      <c r="Q67" s="11"/>
      <c r="R67" s="11"/>
      <c r="S67" s="23"/>
      <c r="T67" s="24"/>
    </row>
    <row r="68" spans="1:20">
      <c r="A68" s="33">
        <v>66</v>
      </c>
      <c r="B68" s="34">
        <f t="shared" si="3"/>
        <v>16449</v>
      </c>
      <c r="C68" s="34" t="str">
        <f t="shared" si="4"/>
        <v>4041</v>
      </c>
      <c r="F68" s="33" t="s">
        <v>763</v>
      </c>
      <c r="G68" s="35" t="s">
        <v>114</v>
      </c>
      <c r="P68" s="11"/>
      <c r="Q68" s="11"/>
      <c r="R68" s="11"/>
      <c r="S68" s="23"/>
      <c r="T68" s="24"/>
    </row>
    <row r="69" spans="1:20">
      <c r="A69" s="33">
        <v>67</v>
      </c>
      <c r="B69" s="34">
        <f t="shared" si="3"/>
        <v>16450</v>
      </c>
      <c r="C69" s="34" t="str">
        <f t="shared" si="4"/>
        <v>4042</v>
      </c>
      <c r="F69" s="33" t="s">
        <v>763</v>
      </c>
      <c r="G69" s="35" t="s">
        <v>114</v>
      </c>
      <c r="P69" s="11"/>
      <c r="Q69" s="11"/>
      <c r="R69" s="11"/>
      <c r="S69" s="23"/>
      <c r="T69" s="24"/>
    </row>
    <row r="70" spans="1:20">
      <c r="A70" s="33">
        <v>68</v>
      </c>
      <c r="B70" s="34">
        <f t="shared" si="3"/>
        <v>16451</v>
      </c>
      <c r="C70" s="34" t="str">
        <f t="shared" si="4"/>
        <v>4043</v>
      </c>
      <c r="F70" s="33" t="s">
        <v>763</v>
      </c>
      <c r="G70" s="35" t="s">
        <v>114</v>
      </c>
      <c r="P70" s="11"/>
      <c r="Q70" s="11"/>
      <c r="R70" s="11"/>
      <c r="S70" s="23"/>
      <c r="T70" s="24"/>
    </row>
    <row r="71" spans="1:20">
      <c r="A71" s="33">
        <v>69</v>
      </c>
      <c r="B71" s="34">
        <f t="shared" si="3"/>
        <v>16452</v>
      </c>
      <c r="C71" s="34" t="str">
        <f t="shared" si="4"/>
        <v>4044</v>
      </c>
      <c r="F71" s="33" t="s">
        <v>763</v>
      </c>
      <c r="G71" s="35" t="s">
        <v>114</v>
      </c>
      <c r="P71" s="11"/>
      <c r="Q71" s="11"/>
      <c r="R71" s="11"/>
      <c r="S71" s="23"/>
      <c r="T71" s="24"/>
    </row>
    <row r="72" spans="1:20">
      <c r="A72" s="33">
        <v>70</v>
      </c>
      <c r="B72" s="34">
        <f t="shared" si="3"/>
        <v>16453</v>
      </c>
      <c r="C72" s="34" t="str">
        <f t="shared" si="4"/>
        <v>4045</v>
      </c>
      <c r="F72" s="33" t="s">
        <v>763</v>
      </c>
      <c r="G72" s="35" t="s">
        <v>114</v>
      </c>
      <c r="P72" s="11"/>
      <c r="Q72" s="11"/>
      <c r="R72" s="11"/>
      <c r="S72" s="23"/>
      <c r="T72" s="24"/>
    </row>
    <row r="73" spans="1:20">
      <c r="A73" s="33">
        <v>71</v>
      </c>
      <c r="B73" s="34">
        <f t="shared" si="3"/>
        <v>16454</v>
      </c>
      <c r="C73" s="34" t="str">
        <f t="shared" si="4"/>
        <v>4046</v>
      </c>
      <c r="F73" s="33" t="s">
        <v>763</v>
      </c>
      <c r="G73" s="35" t="s">
        <v>114</v>
      </c>
      <c r="P73" s="11"/>
      <c r="Q73" s="11"/>
      <c r="R73" s="11"/>
      <c r="S73" s="23"/>
      <c r="T73" s="24"/>
    </row>
    <row r="74" spans="1:20">
      <c r="A74" s="33">
        <v>72</v>
      </c>
      <c r="B74" s="34">
        <f t="shared" si="3"/>
        <v>16455</v>
      </c>
      <c r="C74" s="34" t="str">
        <f t="shared" si="4"/>
        <v>4047</v>
      </c>
      <c r="F74" s="33" t="s">
        <v>763</v>
      </c>
      <c r="G74" s="35" t="s">
        <v>114</v>
      </c>
      <c r="P74" s="11"/>
      <c r="Q74" s="11"/>
      <c r="R74" s="11"/>
      <c r="S74" s="23"/>
      <c r="T74" s="24"/>
    </row>
    <row r="75" spans="1:20">
      <c r="A75" s="33">
        <v>73</v>
      </c>
      <c r="B75" s="34">
        <f t="shared" si="3"/>
        <v>16456</v>
      </c>
      <c r="C75" s="34" t="str">
        <f t="shared" si="4"/>
        <v>4048</v>
      </c>
      <c r="F75" s="33" t="s">
        <v>763</v>
      </c>
      <c r="G75" s="35" t="s">
        <v>114</v>
      </c>
      <c r="P75" s="11"/>
      <c r="Q75" s="11"/>
      <c r="R75" s="11"/>
      <c r="S75" s="23"/>
      <c r="T75" s="24"/>
    </row>
    <row r="76" spans="1:20">
      <c r="A76" s="33">
        <v>74</v>
      </c>
      <c r="B76" s="34">
        <f t="shared" si="3"/>
        <v>16457</v>
      </c>
      <c r="C76" s="34" t="str">
        <f t="shared" si="4"/>
        <v>4049</v>
      </c>
      <c r="F76" s="33" t="s">
        <v>763</v>
      </c>
      <c r="G76" s="35" t="s">
        <v>114</v>
      </c>
      <c r="P76" s="11"/>
      <c r="Q76" s="11"/>
      <c r="R76" s="11"/>
      <c r="S76" s="23"/>
      <c r="T76" s="24"/>
    </row>
    <row r="77" spans="1:20">
      <c r="A77" s="33">
        <v>75</v>
      </c>
      <c r="B77" s="34">
        <f t="shared" si="3"/>
        <v>16458</v>
      </c>
      <c r="C77" s="34" t="str">
        <f t="shared" si="4"/>
        <v>404A</v>
      </c>
      <c r="F77" s="33" t="s">
        <v>763</v>
      </c>
      <c r="G77" s="35" t="s">
        <v>114</v>
      </c>
      <c r="P77" s="11"/>
      <c r="Q77" s="11"/>
      <c r="R77" s="11"/>
      <c r="S77" s="23"/>
      <c r="T77" s="24"/>
    </row>
    <row r="78" spans="1:20">
      <c r="A78" s="33">
        <v>76</v>
      </c>
      <c r="B78" s="34">
        <f t="shared" si="3"/>
        <v>16459</v>
      </c>
      <c r="C78" s="34" t="str">
        <f t="shared" si="4"/>
        <v>404B</v>
      </c>
      <c r="F78" s="33" t="s">
        <v>763</v>
      </c>
      <c r="G78" s="35" t="s">
        <v>114</v>
      </c>
      <c r="P78" s="11"/>
      <c r="Q78" s="11"/>
      <c r="R78" s="11"/>
      <c r="S78" s="23"/>
      <c r="T78" s="24"/>
    </row>
    <row r="79" spans="1:20">
      <c r="A79" s="33">
        <v>77</v>
      </c>
      <c r="B79" s="34">
        <f t="shared" si="3"/>
        <v>16460</v>
      </c>
      <c r="C79" s="34" t="str">
        <f t="shared" si="4"/>
        <v>404C</v>
      </c>
      <c r="F79" s="33" t="s">
        <v>763</v>
      </c>
      <c r="G79" s="35" t="s">
        <v>114</v>
      </c>
      <c r="P79" s="11"/>
      <c r="Q79" s="11"/>
      <c r="R79" s="11"/>
      <c r="S79" s="23"/>
      <c r="T79" s="24"/>
    </row>
    <row r="80" spans="1:20">
      <c r="A80" s="33">
        <v>78</v>
      </c>
      <c r="B80" s="34">
        <f t="shared" si="3"/>
        <v>16461</v>
      </c>
      <c r="C80" s="34" t="str">
        <f t="shared" si="4"/>
        <v>404D</v>
      </c>
      <c r="F80" s="33" t="s">
        <v>763</v>
      </c>
      <c r="G80" s="35" t="s">
        <v>114</v>
      </c>
      <c r="P80" s="11"/>
      <c r="Q80" s="11"/>
      <c r="R80" s="11"/>
      <c r="S80" s="23"/>
      <c r="T80" s="24"/>
    </row>
    <row r="81" spans="1:20">
      <c r="A81" s="33">
        <v>79</v>
      </c>
      <c r="B81" s="34">
        <f t="shared" si="3"/>
        <v>16462</v>
      </c>
      <c r="C81" s="34" t="str">
        <f t="shared" si="4"/>
        <v>404E</v>
      </c>
      <c r="F81" s="33" t="s">
        <v>763</v>
      </c>
      <c r="G81" s="35" t="s">
        <v>114</v>
      </c>
      <c r="P81" s="11"/>
      <c r="Q81" s="11"/>
      <c r="R81" s="11"/>
      <c r="S81" s="23"/>
      <c r="T81" s="24"/>
    </row>
    <row r="82" spans="1:20">
      <c r="A82" s="33">
        <v>80</v>
      </c>
      <c r="B82" s="34">
        <f t="shared" si="3"/>
        <v>16463</v>
      </c>
      <c r="C82" s="34" t="str">
        <f t="shared" si="4"/>
        <v>404F</v>
      </c>
      <c r="F82" s="33" t="s">
        <v>763</v>
      </c>
      <c r="G82" s="35" t="s">
        <v>114</v>
      </c>
      <c r="P82" s="11"/>
      <c r="Q82" s="11"/>
      <c r="R82" s="11"/>
      <c r="S82" s="23"/>
      <c r="T82" s="23"/>
    </row>
    <row r="83" spans="1:20">
      <c r="A83" s="33">
        <v>81</v>
      </c>
      <c r="B83" s="34">
        <f t="shared" ref="B83:B114" si="5">$B$2+A83-1</f>
        <v>16464</v>
      </c>
      <c r="C83" s="34" t="str">
        <f t="shared" ref="C83:C114" si="6">DEC2HEX(B83,4)</f>
        <v>4050</v>
      </c>
      <c r="F83" s="33" t="s">
        <v>763</v>
      </c>
      <c r="G83" s="35" t="s">
        <v>114</v>
      </c>
      <c r="P83" s="11"/>
      <c r="Q83" s="11"/>
      <c r="R83" s="11"/>
      <c r="S83" s="23"/>
      <c r="T83" s="23"/>
    </row>
    <row r="84" spans="1:20">
      <c r="A84" s="33">
        <v>82</v>
      </c>
      <c r="B84" s="34">
        <f t="shared" si="5"/>
        <v>16465</v>
      </c>
      <c r="C84" s="34" t="str">
        <f t="shared" si="6"/>
        <v>4051</v>
      </c>
      <c r="F84" s="33" t="s">
        <v>763</v>
      </c>
      <c r="G84" s="35" t="s">
        <v>114</v>
      </c>
      <c r="P84" s="11"/>
      <c r="Q84" s="11"/>
      <c r="R84" s="11"/>
      <c r="S84" s="23"/>
      <c r="T84" s="23"/>
    </row>
    <row r="85" spans="1:20">
      <c r="A85" s="33">
        <v>83</v>
      </c>
      <c r="B85" s="34">
        <f t="shared" si="5"/>
        <v>16466</v>
      </c>
      <c r="C85" s="34" t="str">
        <f t="shared" si="6"/>
        <v>4052</v>
      </c>
      <c r="F85" s="33" t="s">
        <v>763</v>
      </c>
      <c r="G85" s="35" t="s">
        <v>114</v>
      </c>
      <c r="P85" s="11"/>
      <c r="Q85" s="11"/>
      <c r="R85" s="11"/>
      <c r="S85" s="23"/>
      <c r="T85" s="23"/>
    </row>
    <row r="86" spans="1:20">
      <c r="A86" s="33">
        <v>84</v>
      </c>
      <c r="B86" s="34">
        <f t="shared" si="5"/>
        <v>16467</v>
      </c>
      <c r="C86" s="34" t="str">
        <f t="shared" si="6"/>
        <v>4053</v>
      </c>
      <c r="F86" s="33" t="s">
        <v>763</v>
      </c>
      <c r="G86" s="35" t="s">
        <v>114</v>
      </c>
      <c r="P86" s="11"/>
      <c r="Q86" s="11"/>
      <c r="R86" s="11"/>
      <c r="S86" s="23"/>
      <c r="T86" s="23"/>
    </row>
    <row r="87" spans="1:20">
      <c r="A87" s="33">
        <v>85</v>
      </c>
      <c r="B87" s="34">
        <f t="shared" si="5"/>
        <v>16468</v>
      </c>
      <c r="C87" s="34" t="str">
        <f t="shared" si="6"/>
        <v>4054</v>
      </c>
      <c r="F87" s="33" t="s">
        <v>763</v>
      </c>
      <c r="G87" s="35" t="s">
        <v>114</v>
      </c>
      <c r="P87" s="11"/>
      <c r="Q87" s="11"/>
      <c r="R87" s="11"/>
      <c r="S87" s="23"/>
      <c r="T87" s="23"/>
    </row>
    <row r="88" spans="1:20">
      <c r="A88" s="33">
        <v>86</v>
      </c>
      <c r="B88" s="34">
        <f t="shared" si="5"/>
        <v>16469</v>
      </c>
      <c r="C88" s="34" t="str">
        <f t="shared" si="6"/>
        <v>4055</v>
      </c>
      <c r="F88" s="33" t="s">
        <v>763</v>
      </c>
      <c r="G88" s="35" t="s">
        <v>114</v>
      </c>
      <c r="P88" s="11"/>
      <c r="Q88" s="11"/>
      <c r="R88" s="11"/>
      <c r="S88" s="23"/>
      <c r="T88" s="23"/>
    </row>
    <row r="89" spans="1:20">
      <c r="A89" s="33">
        <v>87</v>
      </c>
      <c r="B89" s="34">
        <f t="shared" si="5"/>
        <v>16470</v>
      </c>
      <c r="C89" s="34" t="str">
        <f t="shared" si="6"/>
        <v>4056</v>
      </c>
      <c r="F89" s="33" t="s">
        <v>763</v>
      </c>
      <c r="G89" s="35" t="s">
        <v>114</v>
      </c>
      <c r="P89" s="11"/>
      <c r="Q89" s="11"/>
      <c r="R89" s="11"/>
      <c r="S89" s="23"/>
      <c r="T89" s="23"/>
    </row>
    <row r="90" spans="1:20">
      <c r="A90" s="33">
        <v>88</v>
      </c>
      <c r="B90" s="34">
        <f t="shared" si="5"/>
        <v>16471</v>
      </c>
      <c r="C90" s="34" t="str">
        <f t="shared" si="6"/>
        <v>4057</v>
      </c>
      <c r="F90" s="33" t="s">
        <v>763</v>
      </c>
      <c r="G90" s="35" t="s">
        <v>114</v>
      </c>
      <c r="P90" s="11"/>
      <c r="Q90" s="11"/>
      <c r="R90" s="11"/>
      <c r="S90" s="23"/>
      <c r="T90" s="23"/>
    </row>
    <row r="91" spans="1:20">
      <c r="A91" s="33">
        <v>89</v>
      </c>
      <c r="B91" s="34">
        <f t="shared" si="5"/>
        <v>16472</v>
      </c>
      <c r="C91" s="34" t="str">
        <f t="shared" si="6"/>
        <v>4058</v>
      </c>
      <c r="F91" s="33" t="s">
        <v>763</v>
      </c>
      <c r="G91" s="35" t="s">
        <v>114</v>
      </c>
      <c r="P91" s="11"/>
      <c r="Q91" s="11"/>
      <c r="R91" s="11"/>
      <c r="S91" s="23"/>
      <c r="T91" s="23"/>
    </row>
    <row r="92" spans="1:20">
      <c r="A92" s="33">
        <v>90</v>
      </c>
      <c r="B92" s="34">
        <f t="shared" si="5"/>
        <v>16473</v>
      </c>
      <c r="C92" s="34" t="str">
        <f t="shared" si="6"/>
        <v>4059</v>
      </c>
      <c r="F92" s="33" t="s">
        <v>763</v>
      </c>
      <c r="G92" s="35" t="s">
        <v>114</v>
      </c>
      <c r="P92" s="11"/>
      <c r="Q92" s="11"/>
      <c r="R92" s="11"/>
      <c r="S92" s="23"/>
      <c r="T92" s="23"/>
    </row>
    <row r="93" spans="1:20">
      <c r="A93" s="33">
        <v>91</v>
      </c>
      <c r="B93" s="34">
        <f t="shared" si="5"/>
        <v>16474</v>
      </c>
      <c r="C93" s="34" t="str">
        <f t="shared" si="6"/>
        <v>405A</v>
      </c>
      <c r="F93" s="33" t="s">
        <v>763</v>
      </c>
      <c r="G93" s="35" t="s">
        <v>114</v>
      </c>
      <c r="P93" s="11"/>
      <c r="Q93" s="11"/>
      <c r="R93" s="11"/>
      <c r="S93" s="23"/>
      <c r="T93" s="23"/>
    </row>
    <row r="94" spans="1:7">
      <c r="A94" s="33">
        <v>92</v>
      </c>
      <c r="B94" s="34">
        <f t="shared" si="5"/>
        <v>16475</v>
      </c>
      <c r="C94" s="34" t="str">
        <f t="shared" si="6"/>
        <v>405B</v>
      </c>
      <c r="F94" s="33" t="s">
        <v>763</v>
      </c>
      <c r="G94" s="35" t="s">
        <v>114</v>
      </c>
    </row>
    <row r="95" spans="1:7">
      <c r="A95" s="33">
        <v>93</v>
      </c>
      <c r="B95" s="34">
        <f t="shared" si="5"/>
        <v>16476</v>
      </c>
      <c r="C95" s="34" t="str">
        <f t="shared" si="6"/>
        <v>405C</v>
      </c>
      <c r="F95" s="33" t="s">
        <v>763</v>
      </c>
      <c r="G95" s="35" t="s">
        <v>114</v>
      </c>
    </row>
    <row r="96" spans="1:7">
      <c r="A96" s="33">
        <v>94</v>
      </c>
      <c r="B96" s="34">
        <f t="shared" si="5"/>
        <v>16477</v>
      </c>
      <c r="C96" s="34" t="str">
        <f t="shared" si="6"/>
        <v>405D</v>
      </c>
      <c r="F96" s="33" t="s">
        <v>763</v>
      </c>
      <c r="G96" s="35" t="s">
        <v>114</v>
      </c>
    </row>
    <row r="97" spans="1:7">
      <c r="A97" s="33">
        <v>95</v>
      </c>
      <c r="B97" s="34">
        <f t="shared" si="5"/>
        <v>16478</v>
      </c>
      <c r="C97" s="34" t="str">
        <f t="shared" si="6"/>
        <v>405E</v>
      </c>
      <c r="F97" s="33" t="s">
        <v>763</v>
      </c>
      <c r="G97" s="35" t="s">
        <v>114</v>
      </c>
    </row>
    <row r="98" spans="1:7">
      <c r="A98" s="33">
        <v>96</v>
      </c>
      <c r="B98" s="34">
        <f t="shared" si="5"/>
        <v>16479</v>
      </c>
      <c r="C98" s="34" t="str">
        <f t="shared" si="6"/>
        <v>405F</v>
      </c>
      <c r="F98" s="33" t="s">
        <v>763</v>
      </c>
      <c r="G98" s="35" t="s">
        <v>114</v>
      </c>
    </row>
    <row r="99" spans="1:7">
      <c r="A99" s="33">
        <v>97</v>
      </c>
      <c r="B99" s="34">
        <f t="shared" si="5"/>
        <v>16480</v>
      </c>
      <c r="C99" s="34" t="str">
        <f t="shared" si="6"/>
        <v>4060</v>
      </c>
      <c r="F99" s="33" t="s">
        <v>763</v>
      </c>
      <c r="G99" s="35" t="s">
        <v>114</v>
      </c>
    </row>
    <row r="100" spans="1:7">
      <c r="A100" s="33">
        <v>98</v>
      </c>
      <c r="B100" s="34">
        <f t="shared" si="5"/>
        <v>16481</v>
      </c>
      <c r="C100" s="34" t="str">
        <f t="shared" si="6"/>
        <v>4061</v>
      </c>
      <c r="F100" s="33" t="s">
        <v>763</v>
      </c>
      <c r="G100" s="35" t="s">
        <v>114</v>
      </c>
    </row>
    <row r="101" spans="1:7">
      <c r="A101" s="33">
        <v>99</v>
      </c>
      <c r="B101" s="34">
        <f t="shared" si="5"/>
        <v>16482</v>
      </c>
      <c r="C101" s="34" t="str">
        <f t="shared" si="6"/>
        <v>4062</v>
      </c>
      <c r="F101" s="33" t="s">
        <v>763</v>
      </c>
      <c r="G101" s="35" t="s">
        <v>114</v>
      </c>
    </row>
    <row r="102" spans="1:7">
      <c r="A102" s="33">
        <v>100</v>
      </c>
      <c r="B102" s="34">
        <f t="shared" si="5"/>
        <v>16483</v>
      </c>
      <c r="C102" s="34" t="str">
        <f t="shared" si="6"/>
        <v>4063</v>
      </c>
      <c r="F102" s="33" t="s">
        <v>763</v>
      </c>
      <c r="G102" s="35" t="s">
        <v>114</v>
      </c>
    </row>
    <row r="103" spans="1:7">
      <c r="A103" s="33">
        <v>101</v>
      </c>
      <c r="B103" s="34">
        <f t="shared" si="5"/>
        <v>16484</v>
      </c>
      <c r="C103" s="34" t="str">
        <f t="shared" si="6"/>
        <v>4064</v>
      </c>
      <c r="F103" s="33" t="s">
        <v>763</v>
      </c>
      <c r="G103" s="35" t="s">
        <v>114</v>
      </c>
    </row>
    <row r="104" spans="1:7">
      <c r="A104" s="33">
        <v>102</v>
      </c>
      <c r="B104" s="34">
        <f t="shared" si="5"/>
        <v>16485</v>
      </c>
      <c r="C104" s="34" t="str">
        <f t="shared" si="6"/>
        <v>4065</v>
      </c>
      <c r="F104" s="33" t="s">
        <v>763</v>
      </c>
      <c r="G104" s="35" t="s">
        <v>114</v>
      </c>
    </row>
    <row r="105" spans="1:7">
      <c r="A105" s="33">
        <v>103</v>
      </c>
      <c r="B105" s="34">
        <f t="shared" si="5"/>
        <v>16486</v>
      </c>
      <c r="C105" s="34" t="str">
        <f t="shared" si="6"/>
        <v>4066</v>
      </c>
      <c r="F105" s="33" t="s">
        <v>763</v>
      </c>
      <c r="G105" s="35" t="s">
        <v>114</v>
      </c>
    </row>
    <row r="106" spans="1:7">
      <c r="A106" s="33">
        <v>104</v>
      </c>
      <c r="B106" s="34">
        <f t="shared" si="5"/>
        <v>16487</v>
      </c>
      <c r="C106" s="34" t="str">
        <f t="shared" si="6"/>
        <v>4067</v>
      </c>
      <c r="F106" s="33" t="s">
        <v>763</v>
      </c>
      <c r="G106" s="35" t="s">
        <v>114</v>
      </c>
    </row>
    <row r="107" spans="1:7">
      <c r="A107" s="33">
        <v>105</v>
      </c>
      <c r="B107" s="34">
        <f t="shared" si="5"/>
        <v>16488</v>
      </c>
      <c r="C107" s="34" t="str">
        <f t="shared" si="6"/>
        <v>4068</v>
      </c>
      <c r="F107" s="33" t="s">
        <v>763</v>
      </c>
      <c r="G107" s="35" t="s">
        <v>114</v>
      </c>
    </row>
    <row r="108" spans="1:7">
      <c r="A108" s="33">
        <v>106</v>
      </c>
      <c r="B108" s="34">
        <f t="shared" si="5"/>
        <v>16489</v>
      </c>
      <c r="C108" s="34" t="str">
        <f t="shared" si="6"/>
        <v>4069</v>
      </c>
      <c r="F108" s="33" t="s">
        <v>763</v>
      </c>
      <c r="G108" s="35" t="s">
        <v>114</v>
      </c>
    </row>
    <row r="109" spans="1:7">
      <c r="A109" s="33">
        <v>107</v>
      </c>
      <c r="B109" s="34">
        <f t="shared" si="5"/>
        <v>16490</v>
      </c>
      <c r="C109" s="34" t="str">
        <f t="shared" si="6"/>
        <v>406A</v>
      </c>
      <c r="F109" s="33" t="s">
        <v>763</v>
      </c>
      <c r="G109" s="35" t="s">
        <v>114</v>
      </c>
    </row>
    <row r="110" spans="1:7">
      <c r="A110" s="33">
        <v>108</v>
      </c>
      <c r="B110" s="34">
        <f t="shared" si="5"/>
        <v>16491</v>
      </c>
      <c r="C110" s="34" t="str">
        <f t="shared" si="6"/>
        <v>406B</v>
      </c>
      <c r="F110" s="33" t="s">
        <v>763</v>
      </c>
      <c r="G110" s="35" t="s">
        <v>114</v>
      </c>
    </row>
    <row r="111" spans="1:7">
      <c r="A111" s="33">
        <v>109</v>
      </c>
      <c r="B111" s="34">
        <f t="shared" si="5"/>
        <v>16492</v>
      </c>
      <c r="C111" s="34" t="str">
        <f t="shared" si="6"/>
        <v>406C</v>
      </c>
      <c r="F111" s="33" t="s">
        <v>763</v>
      </c>
      <c r="G111" s="35" t="s">
        <v>114</v>
      </c>
    </row>
    <row r="112" spans="1:7">
      <c r="A112" s="33">
        <v>110</v>
      </c>
      <c r="B112" s="34">
        <f t="shared" si="5"/>
        <v>16493</v>
      </c>
      <c r="C112" s="34" t="str">
        <f t="shared" si="6"/>
        <v>406D</v>
      </c>
      <c r="F112" s="33" t="s">
        <v>763</v>
      </c>
      <c r="G112" s="35" t="s">
        <v>114</v>
      </c>
    </row>
    <row r="113" spans="1:7">
      <c r="A113" s="33">
        <v>111</v>
      </c>
      <c r="B113" s="34">
        <f t="shared" si="5"/>
        <v>16494</v>
      </c>
      <c r="C113" s="34" t="str">
        <f t="shared" si="6"/>
        <v>406E</v>
      </c>
      <c r="F113" s="33" t="s">
        <v>763</v>
      </c>
      <c r="G113" s="35" t="s">
        <v>114</v>
      </c>
    </row>
    <row r="114" spans="1:7">
      <c r="A114" s="33">
        <v>112</v>
      </c>
      <c r="B114" s="34">
        <f t="shared" si="5"/>
        <v>16495</v>
      </c>
      <c r="C114" s="34" t="str">
        <f t="shared" si="6"/>
        <v>406F</v>
      </c>
      <c r="F114" s="33" t="s">
        <v>763</v>
      </c>
      <c r="G114" s="35" t="s">
        <v>114</v>
      </c>
    </row>
    <row r="115" spans="1:7">
      <c r="A115" s="33">
        <v>113</v>
      </c>
      <c r="B115" s="34">
        <f t="shared" ref="B115:B132" si="7">$B$2+A115-1</f>
        <v>16496</v>
      </c>
      <c r="C115" s="34" t="str">
        <f t="shared" ref="C115:C132" si="8">DEC2HEX(B115,4)</f>
        <v>4070</v>
      </c>
      <c r="F115" s="33" t="s">
        <v>763</v>
      </c>
      <c r="G115" s="35" t="s">
        <v>114</v>
      </c>
    </row>
    <row r="116" spans="1:7">
      <c r="A116" s="33">
        <v>114</v>
      </c>
      <c r="B116" s="34">
        <f t="shared" si="7"/>
        <v>16497</v>
      </c>
      <c r="C116" s="34" t="str">
        <f t="shared" si="8"/>
        <v>4071</v>
      </c>
      <c r="F116" s="33" t="s">
        <v>763</v>
      </c>
      <c r="G116" s="35" t="s">
        <v>114</v>
      </c>
    </row>
    <row r="117" spans="1:7">
      <c r="A117" s="33">
        <v>115</v>
      </c>
      <c r="B117" s="34">
        <f t="shared" si="7"/>
        <v>16498</v>
      </c>
      <c r="C117" s="34" t="str">
        <f t="shared" si="8"/>
        <v>4072</v>
      </c>
      <c r="F117" s="33" t="s">
        <v>763</v>
      </c>
      <c r="G117" s="35" t="s">
        <v>114</v>
      </c>
    </row>
    <row r="118" spans="1:7">
      <c r="A118" s="33">
        <v>116</v>
      </c>
      <c r="B118" s="34">
        <f t="shared" si="7"/>
        <v>16499</v>
      </c>
      <c r="C118" s="34" t="str">
        <f t="shared" si="8"/>
        <v>4073</v>
      </c>
      <c r="F118" s="33" t="s">
        <v>763</v>
      </c>
      <c r="G118" s="35" t="s">
        <v>114</v>
      </c>
    </row>
    <row r="119" spans="1:7">
      <c r="A119" s="33">
        <v>117</v>
      </c>
      <c r="B119" s="34">
        <f t="shared" si="7"/>
        <v>16500</v>
      </c>
      <c r="C119" s="34" t="str">
        <f t="shared" si="8"/>
        <v>4074</v>
      </c>
      <c r="F119" s="33" t="s">
        <v>763</v>
      </c>
      <c r="G119" s="35" t="s">
        <v>114</v>
      </c>
    </row>
    <row r="120" spans="1:7">
      <c r="A120" s="33">
        <v>118</v>
      </c>
      <c r="B120" s="34">
        <f t="shared" si="7"/>
        <v>16501</v>
      </c>
      <c r="C120" s="34" t="str">
        <f t="shared" si="8"/>
        <v>4075</v>
      </c>
      <c r="F120" s="33" t="s">
        <v>763</v>
      </c>
      <c r="G120" s="35" t="s">
        <v>114</v>
      </c>
    </row>
    <row r="121" spans="1:7">
      <c r="A121" s="33">
        <v>119</v>
      </c>
      <c r="B121" s="34">
        <f t="shared" si="7"/>
        <v>16502</v>
      </c>
      <c r="C121" s="34" t="str">
        <f t="shared" si="8"/>
        <v>4076</v>
      </c>
      <c r="F121" s="33" t="s">
        <v>763</v>
      </c>
      <c r="G121" s="35" t="s">
        <v>114</v>
      </c>
    </row>
    <row r="122" spans="1:7">
      <c r="A122" s="33">
        <v>120</v>
      </c>
      <c r="B122" s="34">
        <f t="shared" si="7"/>
        <v>16503</v>
      </c>
      <c r="C122" s="34" t="str">
        <f t="shared" si="8"/>
        <v>4077</v>
      </c>
      <c r="F122" s="33" t="s">
        <v>763</v>
      </c>
      <c r="G122" s="35" t="s">
        <v>114</v>
      </c>
    </row>
    <row r="123" spans="1:7">
      <c r="A123" s="33">
        <v>121</v>
      </c>
      <c r="B123" s="34">
        <f t="shared" si="7"/>
        <v>16504</v>
      </c>
      <c r="C123" s="34" t="str">
        <f t="shared" si="8"/>
        <v>4078</v>
      </c>
      <c r="F123" s="33" t="s">
        <v>763</v>
      </c>
      <c r="G123" s="35" t="s">
        <v>114</v>
      </c>
    </row>
    <row r="124" spans="1:7">
      <c r="A124" s="33">
        <v>122</v>
      </c>
      <c r="B124" s="34">
        <f t="shared" si="7"/>
        <v>16505</v>
      </c>
      <c r="C124" s="34" t="str">
        <f t="shared" si="8"/>
        <v>4079</v>
      </c>
      <c r="F124" s="33" t="s">
        <v>763</v>
      </c>
      <c r="G124" s="35" t="s">
        <v>114</v>
      </c>
    </row>
    <row r="125" spans="1:7">
      <c r="A125" s="33">
        <v>123</v>
      </c>
      <c r="B125" s="34">
        <f t="shared" si="7"/>
        <v>16506</v>
      </c>
      <c r="C125" s="34" t="str">
        <f t="shared" si="8"/>
        <v>407A</v>
      </c>
      <c r="F125" s="33" t="s">
        <v>763</v>
      </c>
      <c r="G125" s="35" t="s">
        <v>114</v>
      </c>
    </row>
    <row r="126" spans="1:7">
      <c r="A126" s="33">
        <v>124</v>
      </c>
      <c r="B126" s="34">
        <f t="shared" si="7"/>
        <v>16507</v>
      </c>
      <c r="C126" s="34" t="str">
        <f t="shared" si="8"/>
        <v>407B</v>
      </c>
      <c r="F126" s="33" t="s">
        <v>763</v>
      </c>
      <c r="G126" s="35" t="s">
        <v>114</v>
      </c>
    </row>
    <row r="127" spans="1:7">
      <c r="A127" s="33">
        <v>125</v>
      </c>
      <c r="B127" s="34">
        <f t="shared" si="7"/>
        <v>16508</v>
      </c>
      <c r="C127" s="34" t="str">
        <f t="shared" si="8"/>
        <v>407C</v>
      </c>
      <c r="F127" s="33" t="s">
        <v>763</v>
      </c>
      <c r="G127" s="35" t="s">
        <v>114</v>
      </c>
    </row>
    <row r="128" spans="1:7">
      <c r="A128" s="33">
        <v>126</v>
      </c>
      <c r="B128" s="34">
        <f t="shared" si="7"/>
        <v>16509</v>
      </c>
      <c r="C128" s="34" t="str">
        <f t="shared" si="8"/>
        <v>407D</v>
      </c>
      <c r="F128" s="33" t="s">
        <v>763</v>
      </c>
      <c r="G128" s="35" t="s">
        <v>114</v>
      </c>
    </row>
    <row r="129" spans="1:7">
      <c r="A129" s="33">
        <v>127</v>
      </c>
      <c r="B129" s="34">
        <f t="shared" si="7"/>
        <v>16510</v>
      </c>
      <c r="C129" s="34" t="str">
        <f t="shared" si="8"/>
        <v>407E</v>
      </c>
      <c r="F129" s="33" t="s">
        <v>763</v>
      </c>
      <c r="G129" s="35" t="s">
        <v>114</v>
      </c>
    </row>
    <row r="130" spans="1:7">
      <c r="A130" s="33">
        <v>128</v>
      </c>
      <c r="B130" s="34">
        <f t="shared" si="7"/>
        <v>16511</v>
      </c>
      <c r="C130" s="34" t="str">
        <f t="shared" si="8"/>
        <v>407F</v>
      </c>
      <c r="F130" s="33" t="s">
        <v>763</v>
      </c>
      <c r="G130" s="35" t="s">
        <v>114</v>
      </c>
    </row>
    <row r="131" spans="1:7">
      <c r="A131" s="33">
        <v>129</v>
      </c>
      <c r="B131" s="34">
        <f t="shared" si="7"/>
        <v>16512</v>
      </c>
      <c r="C131" s="34" t="str">
        <f t="shared" si="8"/>
        <v>4080</v>
      </c>
      <c r="F131" s="33" t="s">
        <v>763</v>
      </c>
      <c r="G131" s="35" t="s">
        <v>114</v>
      </c>
    </row>
    <row r="132" spans="1:3">
      <c r="A132" s="33">
        <v>130</v>
      </c>
      <c r="B132" s="34">
        <f t="shared" si="7"/>
        <v>16513</v>
      </c>
      <c r="C132" s="34" t="str">
        <f t="shared" si="8"/>
        <v>4081</v>
      </c>
    </row>
    <row r="133" spans="1:3">
      <c r="A133" s="33">
        <v>131</v>
      </c>
      <c r="B133" s="34">
        <f t="shared" ref="B133:B160" si="9">$B$2+A133-1</f>
        <v>16514</v>
      </c>
      <c r="C133" s="34" t="str">
        <f t="shared" ref="C133:C160" si="10">DEC2HEX(B133,4)</f>
        <v>4082</v>
      </c>
    </row>
    <row r="134" spans="1:3">
      <c r="A134" s="33">
        <v>132</v>
      </c>
      <c r="B134" s="34">
        <f t="shared" si="9"/>
        <v>16515</v>
      </c>
      <c r="C134" s="34" t="str">
        <f t="shared" si="10"/>
        <v>4083</v>
      </c>
    </row>
    <row r="135" spans="1:3">
      <c r="A135" s="33">
        <v>133</v>
      </c>
      <c r="B135" s="34">
        <f t="shared" si="9"/>
        <v>16516</v>
      </c>
      <c r="C135" s="34" t="str">
        <f t="shared" si="10"/>
        <v>4084</v>
      </c>
    </row>
    <row r="136" spans="1:3">
      <c r="A136" s="33">
        <v>134</v>
      </c>
      <c r="B136" s="34">
        <f t="shared" si="9"/>
        <v>16517</v>
      </c>
      <c r="C136" s="34" t="str">
        <f t="shared" si="10"/>
        <v>4085</v>
      </c>
    </row>
    <row r="137" spans="1:3">
      <c r="A137" s="33">
        <v>135</v>
      </c>
      <c r="B137" s="34">
        <f t="shared" si="9"/>
        <v>16518</v>
      </c>
      <c r="C137" s="34" t="str">
        <f t="shared" si="10"/>
        <v>4086</v>
      </c>
    </row>
    <row r="138" spans="1:3">
      <c r="A138" s="33">
        <v>136</v>
      </c>
      <c r="B138" s="34">
        <f t="shared" si="9"/>
        <v>16519</v>
      </c>
      <c r="C138" s="34" t="str">
        <f t="shared" si="10"/>
        <v>4087</v>
      </c>
    </row>
    <row r="139" spans="1:3">
      <c r="A139" s="33">
        <v>137</v>
      </c>
      <c r="B139" s="34">
        <f t="shared" si="9"/>
        <v>16520</v>
      </c>
      <c r="C139" s="34" t="str">
        <f t="shared" si="10"/>
        <v>4088</v>
      </c>
    </row>
    <row r="140" spans="1:3">
      <c r="A140" s="33">
        <v>138</v>
      </c>
      <c r="B140" s="34">
        <f t="shared" si="9"/>
        <v>16521</v>
      </c>
      <c r="C140" s="34" t="str">
        <f t="shared" si="10"/>
        <v>4089</v>
      </c>
    </row>
    <row r="141" spans="1:3">
      <c r="A141" s="33">
        <v>139</v>
      </c>
      <c r="B141" s="34">
        <f t="shared" si="9"/>
        <v>16522</v>
      </c>
      <c r="C141" s="34" t="str">
        <f t="shared" si="10"/>
        <v>408A</v>
      </c>
    </row>
    <row r="142" spans="1:3">
      <c r="A142" s="33">
        <v>140</v>
      </c>
      <c r="B142" s="34">
        <f t="shared" si="9"/>
        <v>16523</v>
      </c>
      <c r="C142" s="34" t="str">
        <f t="shared" si="10"/>
        <v>408B</v>
      </c>
    </row>
    <row r="143" spans="1:3">
      <c r="A143" s="33">
        <v>141</v>
      </c>
      <c r="B143" s="34">
        <f t="shared" si="9"/>
        <v>16524</v>
      </c>
      <c r="C143" s="34" t="str">
        <f t="shared" si="10"/>
        <v>408C</v>
      </c>
    </row>
    <row r="144" spans="1:3">
      <c r="A144" s="33">
        <v>142</v>
      </c>
      <c r="B144" s="34">
        <f t="shared" si="9"/>
        <v>16525</v>
      </c>
      <c r="C144" s="34" t="str">
        <f t="shared" si="10"/>
        <v>408D</v>
      </c>
    </row>
    <row r="145" spans="1:3">
      <c r="A145" s="33">
        <v>143</v>
      </c>
      <c r="B145" s="34">
        <f t="shared" si="9"/>
        <v>16526</v>
      </c>
      <c r="C145" s="34" t="str">
        <f t="shared" si="10"/>
        <v>408E</v>
      </c>
    </row>
    <row r="146" spans="1:3">
      <c r="A146" s="33">
        <v>144</v>
      </c>
      <c r="B146" s="34">
        <f t="shared" si="9"/>
        <v>16527</v>
      </c>
      <c r="C146" s="34" t="str">
        <f t="shared" si="10"/>
        <v>408F</v>
      </c>
    </row>
    <row r="147" ht="196" spans="1:9">
      <c r="A147" s="33">
        <v>145</v>
      </c>
      <c r="B147" s="34">
        <f t="shared" si="9"/>
        <v>16528</v>
      </c>
      <c r="C147" s="34" t="str">
        <f t="shared" si="10"/>
        <v>4090</v>
      </c>
      <c r="F147" s="39" t="s">
        <v>765</v>
      </c>
      <c r="G147" s="35" t="s">
        <v>114</v>
      </c>
      <c r="I147" s="40" t="s">
        <v>766</v>
      </c>
    </row>
    <row r="148" spans="1:3">
      <c r="A148" s="33">
        <v>146</v>
      </c>
      <c r="B148" s="34">
        <f t="shared" si="9"/>
        <v>16529</v>
      </c>
      <c r="C148" s="34" t="str">
        <f t="shared" si="10"/>
        <v>4091</v>
      </c>
    </row>
    <row r="149" ht="140" spans="1:9">
      <c r="A149" s="33">
        <v>147</v>
      </c>
      <c r="B149" s="34">
        <f t="shared" si="9"/>
        <v>16530</v>
      </c>
      <c r="C149" s="34" t="str">
        <f t="shared" si="10"/>
        <v>4092</v>
      </c>
      <c r="F149" t="s">
        <v>767</v>
      </c>
      <c r="G149" s="35" t="s">
        <v>114</v>
      </c>
      <c r="I149" s="40" t="s">
        <v>768</v>
      </c>
    </row>
    <row r="150" spans="1:3">
      <c r="A150" s="33">
        <v>148</v>
      </c>
      <c r="B150" s="34">
        <f t="shared" si="9"/>
        <v>16531</v>
      </c>
      <c r="C150" s="34" t="str">
        <f t="shared" si="10"/>
        <v>4093</v>
      </c>
    </row>
    <row r="151" ht="42" spans="1:9">
      <c r="A151" s="33">
        <v>149</v>
      </c>
      <c r="B151" s="34">
        <f t="shared" si="9"/>
        <v>16532</v>
      </c>
      <c r="C151" s="34" t="str">
        <f t="shared" si="10"/>
        <v>4094</v>
      </c>
      <c r="F151" t="s">
        <v>769</v>
      </c>
      <c r="G151" s="35" t="s">
        <v>114</v>
      </c>
      <c r="I151" s="40" t="s">
        <v>770</v>
      </c>
    </row>
    <row r="152" ht="56" spans="1:9">
      <c r="A152" s="33">
        <v>150</v>
      </c>
      <c r="B152" s="34">
        <f t="shared" si="9"/>
        <v>16533</v>
      </c>
      <c r="C152" s="34" t="str">
        <f t="shared" si="10"/>
        <v>4095</v>
      </c>
      <c r="F152" t="s">
        <v>771</v>
      </c>
      <c r="G152" s="35" t="s">
        <v>114</v>
      </c>
      <c r="I152" s="40" t="s">
        <v>772</v>
      </c>
    </row>
    <row r="153" ht="56" spans="1:9">
      <c r="A153" s="33">
        <v>151</v>
      </c>
      <c r="B153" s="34">
        <f t="shared" ref="B153:B184" si="11">$B$2+A153-1</f>
        <v>16534</v>
      </c>
      <c r="C153" s="34" t="str">
        <f t="shared" ref="C153:C184" si="12">DEC2HEX(B153,4)</f>
        <v>4096</v>
      </c>
      <c r="F153" t="s">
        <v>773</v>
      </c>
      <c r="G153" s="35" t="s">
        <v>114</v>
      </c>
      <c r="I153" s="40" t="s">
        <v>772</v>
      </c>
    </row>
    <row r="154" ht="70" spans="1:9">
      <c r="A154" s="33">
        <v>152</v>
      </c>
      <c r="B154" s="34">
        <f t="shared" si="11"/>
        <v>16535</v>
      </c>
      <c r="C154" s="34" t="str">
        <f t="shared" si="12"/>
        <v>4097</v>
      </c>
      <c r="F154" t="s">
        <v>774</v>
      </c>
      <c r="G154" s="35" t="s">
        <v>114</v>
      </c>
      <c r="I154" s="40" t="s">
        <v>775</v>
      </c>
    </row>
    <row r="155" ht="42" spans="1:9">
      <c r="A155" s="33">
        <v>153</v>
      </c>
      <c r="B155" s="34">
        <f t="shared" si="11"/>
        <v>16536</v>
      </c>
      <c r="C155" s="34" t="str">
        <f t="shared" si="12"/>
        <v>4098</v>
      </c>
      <c r="F155" t="s">
        <v>776</v>
      </c>
      <c r="G155" s="35" t="s">
        <v>114</v>
      </c>
      <c r="I155" s="40" t="s">
        <v>777</v>
      </c>
    </row>
    <row r="156" spans="1:9">
      <c r="A156" s="33">
        <v>154</v>
      </c>
      <c r="B156" s="34">
        <f t="shared" si="11"/>
        <v>16537</v>
      </c>
      <c r="C156" s="34" t="str">
        <f t="shared" si="12"/>
        <v>4099</v>
      </c>
      <c r="F156" t="s">
        <v>778</v>
      </c>
      <c r="G156" s="35" t="s">
        <v>114</v>
      </c>
      <c r="I156" t="s">
        <v>779</v>
      </c>
    </row>
    <row r="157" spans="1:7">
      <c r="A157" s="33">
        <v>155</v>
      </c>
      <c r="B157" s="34">
        <f t="shared" si="11"/>
        <v>16538</v>
      </c>
      <c r="C157" s="34" t="str">
        <f t="shared" si="12"/>
        <v>409A</v>
      </c>
      <c r="F157" t="s">
        <v>609</v>
      </c>
      <c r="G157" s="35" t="s">
        <v>114</v>
      </c>
    </row>
    <row r="158" spans="1:7">
      <c r="A158" s="33">
        <v>156</v>
      </c>
      <c r="B158" s="34">
        <f t="shared" si="11"/>
        <v>16539</v>
      </c>
      <c r="C158" s="34" t="str">
        <f t="shared" si="12"/>
        <v>409B</v>
      </c>
      <c r="F158" t="s">
        <v>780</v>
      </c>
      <c r="G158" s="35" t="s">
        <v>114</v>
      </c>
    </row>
    <row r="159" spans="1:7">
      <c r="A159" s="33">
        <v>157</v>
      </c>
      <c r="B159" s="34">
        <f t="shared" si="11"/>
        <v>16540</v>
      </c>
      <c r="C159" s="34" t="str">
        <f t="shared" si="12"/>
        <v>409C</v>
      </c>
      <c r="F159" t="s">
        <v>781</v>
      </c>
      <c r="G159" s="35" t="s">
        <v>114</v>
      </c>
    </row>
    <row r="160" spans="1:7">
      <c r="A160" s="33">
        <v>158</v>
      </c>
      <c r="B160" s="34">
        <f t="shared" si="11"/>
        <v>16541</v>
      </c>
      <c r="C160" s="34" t="str">
        <f t="shared" si="12"/>
        <v>409D</v>
      </c>
      <c r="F160" t="s">
        <v>782</v>
      </c>
      <c r="G160" s="35" t="s">
        <v>114</v>
      </c>
    </row>
    <row r="161" spans="1:7">
      <c r="A161" s="33">
        <v>159</v>
      </c>
      <c r="B161" s="34">
        <f t="shared" si="11"/>
        <v>16542</v>
      </c>
      <c r="C161" s="34" t="str">
        <f t="shared" si="12"/>
        <v>409E</v>
      </c>
      <c r="F161" t="s">
        <v>783</v>
      </c>
      <c r="G161" s="35" t="s">
        <v>114</v>
      </c>
    </row>
    <row r="162" spans="1:7">
      <c r="A162" s="33">
        <v>160</v>
      </c>
      <c r="B162" s="34">
        <f t="shared" si="11"/>
        <v>16543</v>
      </c>
      <c r="C162" s="34" t="str">
        <f t="shared" si="12"/>
        <v>409F</v>
      </c>
      <c r="F162" t="s">
        <v>784</v>
      </c>
      <c r="G162" s="35" t="s">
        <v>114</v>
      </c>
    </row>
    <row r="163" spans="1:7">
      <c r="A163" s="33">
        <v>161</v>
      </c>
      <c r="B163" s="34">
        <f t="shared" si="11"/>
        <v>16544</v>
      </c>
      <c r="C163" s="34" t="str">
        <f t="shared" si="12"/>
        <v>40A0</v>
      </c>
      <c r="F163" t="s">
        <v>785</v>
      </c>
      <c r="G163" s="35" t="s">
        <v>114</v>
      </c>
    </row>
    <row r="164" spans="1:6">
      <c r="A164" s="33">
        <v>162</v>
      </c>
      <c r="B164" s="34">
        <f t="shared" si="11"/>
        <v>16545</v>
      </c>
      <c r="C164" s="34" t="str">
        <f t="shared" si="12"/>
        <v>40A1</v>
      </c>
      <c r="F164" t="s">
        <v>786</v>
      </c>
    </row>
    <row r="165" spans="1:6">
      <c r="A165" s="33">
        <v>163</v>
      </c>
      <c r="B165" s="34">
        <f t="shared" si="11"/>
        <v>16546</v>
      </c>
      <c r="C165" s="34" t="str">
        <f t="shared" si="12"/>
        <v>40A2</v>
      </c>
      <c r="F165" t="s">
        <v>787</v>
      </c>
    </row>
    <row r="166" spans="1:7">
      <c r="A166" s="33">
        <v>164</v>
      </c>
      <c r="B166" s="34">
        <f t="shared" si="11"/>
        <v>16547</v>
      </c>
      <c r="C166" s="34" t="str">
        <f t="shared" si="12"/>
        <v>40A3</v>
      </c>
      <c r="G166" s="35"/>
    </row>
    <row r="167" spans="1:3">
      <c r="A167" s="33">
        <v>165</v>
      </c>
      <c r="B167" s="34">
        <f t="shared" si="11"/>
        <v>16548</v>
      </c>
      <c r="C167" s="34" t="str">
        <f t="shared" si="12"/>
        <v>40A4</v>
      </c>
    </row>
    <row r="168" spans="1:3">
      <c r="A168" s="33">
        <v>166</v>
      </c>
      <c r="B168" s="34">
        <f t="shared" si="11"/>
        <v>16549</v>
      </c>
      <c r="C168" s="34" t="str">
        <f t="shared" si="12"/>
        <v>40A5</v>
      </c>
    </row>
    <row r="169" spans="1:3">
      <c r="A169" s="33">
        <v>167</v>
      </c>
      <c r="B169" s="34">
        <f t="shared" si="11"/>
        <v>16550</v>
      </c>
      <c r="C169" s="34" t="str">
        <f t="shared" si="12"/>
        <v>40A6</v>
      </c>
    </row>
    <row r="170" spans="1:3">
      <c r="A170" s="33">
        <v>168</v>
      </c>
      <c r="B170" s="34">
        <f t="shared" si="11"/>
        <v>16551</v>
      </c>
      <c r="C170" s="34" t="str">
        <f t="shared" si="12"/>
        <v>40A7</v>
      </c>
    </row>
    <row r="171" spans="1:3">
      <c r="A171" s="33">
        <v>169</v>
      </c>
      <c r="B171" s="34">
        <f t="shared" si="11"/>
        <v>16552</v>
      </c>
      <c r="C171" s="34" t="str">
        <f t="shared" si="12"/>
        <v>40A8</v>
      </c>
    </row>
    <row r="172" spans="1:3">
      <c r="A172" s="33">
        <v>170</v>
      </c>
      <c r="B172" s="34">
        <f t="shared" si="11"/>
        <v>16553</v>
      </c>
      <c r="C172" s="34" t="str">
        <f t="shared" si="12"/>
        <v>40A9</v>
      </c>
    </row>
    <row r="173" spans="1:3">
      <c r="A173" s="33">
        <v>171</v>
      </c>
      <c r="B173" s="34">
        <f t="shared" si="11"/>
        <v>16554</v>
      </c>
      <c r="C173" s="34" t="str">
        <f t="shared" si="12"/>
        <v>40AA</v>
      </c>
    </row>
    <row r="174" spans="1:3">
      <c r="A174" s="33">
        <v>172</v>
      </c>
      <c r="B174" s="34">
        <f t="shared" si="11"/>
        <v>16555</v>
      </c>
      <c r="C174" s="34" t="str">
        <f t="shared" si="12"/>
        <v>40AB</v>
      </c>
    </row>
    <row r="175" spans="1:3">
      <c r="A175" s="33">
        <v>173</v>
      </c>
      <c r="B175" s="34">
        <f t="shared" si="11"/>
        <v>16556</v>
      </c>
      <c r="C175" s="34" t="str">
        <f t="shared" si="12"/>
        <v>40AC</v>
      </c>
    </row>
    <row r="176" spans="1:3">
      <c r="A176" s="33">
        <v>174</v>
      </c>
      <c r="B176" s="34">
        <f t="shared" si="11"/>
        <v>16557</v>
      </c>
      <c r="C176" s="34" t="str">
        <f t="shared" si="12"/>
        <v>40AD</v>
      </c>
    </row>
    <row r="177" spans="1:3">
      <c r="A177" s="33">
        <v>175</v>
      </c>
      <c r="B177" s="34">
        <f t="shared" si="11"/>
        <v>16558</v>
      </c>
      <c r="C177" s="34" t="str">
        <f t="shared" si="12"/>
        <v>40AE</v>
      </c>
    </row>
    <row r="178" spans="1:3">
      <c r="A178" s="33">
        <v>176</v>
      </c>
      <c r="B178" s="34">
        <f t="shared" si="11"/>
        <v>16559</v>
      </c>
      <c r="C178" s="34" t="str">
        <f t="shared" si="12"/>
        <v>40AF</v>
      </c>
    </row>
    <row r="179" spans="1:3">
      <c r="A179" s="33">
        <v>177</v>
      </c>
      <c r="B179" s="34">
        <f t="shared" si="11"/>
        <v>16560</v>
      </c>
      <c r="C179" s="34" t="str">
        <f t="shared" si="12"/>
        <v>40B0</v>
      </c>
    </row>
    <row r="180" spans="1:3">
      <c r="A180" s="33">
        <v>178</v>
      </c>
      <c r="B180" s="34">
        <f t="shared" si="11"/>
        <v>16561</v>
      </c>
      <c r="C180" s="34" t="str">
        <f t="shared" si="12"/>
        <v>40B1</v>
      </c>
    </row>
    <row r="181" spans="1:3">
      <c r="A181" s="33">
        <v>179</v>
      </c>
      <c r="B181" s="34">
        <f t="shared" si="11"/>
        <v>16562</v>
      </c>
      <c r="C181" s="34" t="str">
        <f t="shared" si="12"/>
        <v>40B2</v>
      </c>
    </row>
    <row r="182" spans="1:3">
      <c r="A182" s="33">
        <v>180</v>
      </c>
      <c r="B182" s="34">
        <f t="shared" si="11"/>
        <v>16563</v>
      </c>
      <c r="C182" s="34" t="str">
        <f t="shared" si="12"/>
        <v>40B3</v>
      </c>
    </row>
    <row r="183" spans="1:3">
      <c r="A183" s="33">
        <v>181</v>
      </c>
      <c r="B183" s="34">
        <f t="shared" si="11"/>
        <v>16564</v>
      </c>
      <c r="C183" s="34" t="str">
        <f t="shared" si="12"/>
        <v>40B4</v>
      </c>
    </row>
    <row r="184" spans="1:3">
      <c r="A184" s="33">
        <v>182</v>
      </c>
      <c r="B184" s="34">
        <f t="shared" si="11"/>
        <v>16565</v>
      </c>
      <c r="C184" s="34" t="str">
        <f t="shared" si="12"/>
        <v>40B5</v>
      </c>
    </row>
    <row r="185" spans="1:3">
      <c r="A185" s="33">
        <v>183</v>
      </c>
      <c r="B185" s="34">
        <f t="shared" ref="B185:B220" si="13">$B$2+A185-1</f>
        <v>16566</v>
      </c>
      <c r="C185" s="34" t="str">
        <f t="shared" ref="C185:C220" si="14">DEC2HEX(B185,4)</f>
        <v>40B6</v>
      </c>
    </row>
    <row r="186" spans="1:3">
      <c r="A186" s="33">
        <v>184</v>
      </c>
      <c r="B186" s="34">
        <f t="shared" si="13"/>
        <v>16567</v>
      </c>
      <c r="C186" s="34" t="str">
        <f t="shared" si="14"/>
        <v>40B7</v>
      </c>
    </row>
    <row r="187" spans="1:3">
      <c r="A187" s="33">
        <v>185</v>
      </c>
      <c r="B187" s="34">
        <f t="shared" si="13"/>
        <v>16568</v>
      </c>
      <c r="C187" s="34" t="str">
        <f t="shared" si="14"/>
        <v>40B8</v>
      </c>
    </row>
    <row r="188" spans="1:3">
      <c r="A188" s="33">
        <v>186</v>
      </c>
      <c r="B188" s="34">
        <f t="shared" si="13"/>
        <v>16569</v>
      </c>
      <c r="C188" s="34" t="str">
        <f t="shared" si="14"/>
        <v>40B9</v>
      </c>
    </row>
    <row r="189" spans="1:3">
      <c r="A189" s="33">
        <v>187</v>
      </c>
      <c r="B189" s="34">
        <f t="shared" si="13"/>
        <v>16570</v>
      </c>
      <c r="C189" s="34" t="str">
        <f t="shared" si="14"/>
        <v>40BA</v>
      </c>
    </row>
    <row r="190" spans="1:3">
      <c r="A190" s="33">
        <v>188</v>
      </c>
      <c r="B190" s="34">
        <f t="shared" si="13"/>
        <v>16571</v>
      </c>
      <c r="C190" s="34" t="str">
        <f t="shared" si="14"/>
        <v>40BB</v>
      </c>
    </row>
    <row r="191" spans="1:3">
      <c r="A191" s="33">
        <v>189</v>
      </c>
      <c r="B191" s="34">
        <f t="shared" si="13"/>
        <v>16572</v>
      </c>
      <c r="C191" s="34" t="str">
        <f t="shared" si="14"/>
        <v>40BC</v>
      </c>
    </row>
    <row r="192" spans="1:3">
      <c r="A192" s="33">
        <v>190</v>
      </c>
      <c r="B192" s="34">
        <f t="shared" si="13"/>
        <v>16573</v>
      </c>
      <c r="C192" s="34" t="str">
        <f t="shared" si="14"/>
        <v>40BD</v>
      </c>
    </row>
    <row r="193" spans="1:3">
      <c r="A193" s="33">
        <v>191</v>
      </c>
      <c r="B193" s="34">
        <f t="shared" si="13"/>
        <v>16574</v>
      </c>
      <c r="C193" s="34" t="str">
        <f t="shared" si="14"/>
        <v>40BE</v>
      </c>
    </row>
    <row r="194" spans="1:3">
      <c r="A194" s="33">
        <v>192</v>
      </c>
      <c r="B194" s="34">
        <f t="shared" si="13"/>
        <v>16575</v>
      </c>
      <c r="C194" s="34" t="str">
        <f t="shared" si="14"/>
        <v>40BF</v>
      </c>
    </row>
    <row r="195" spans="1:3">
      <c r="A195" s="33">
        <v>193</v>
      </c>
      <c r="B195" s="34">
        <f t="shared" si="13"/>
        <v>16576</v>
      </c>
      <c r="C195" s="34" t="str">
        <f t="shared" si="14"/>
        <v>40C0</v>
      </c>
    </row>
    <row r="196" spans="1:3">
      <c r="A196" s="33">
        <v>194</v>
      </c>
      <c r="B196" s="34">
        <f t="shared" si="13"/>
        <v>16577</v>
      </c>
      <c r="C196" s="34" t="str">
        <f t="shared" si="14"/>
        <v>40C1</v>
      </c>
    </row>
    <row r="197" spans="1:3">
      <c r="A197" s="33">
        <v>195</v>
      </c>
      <c r="B197" s="34">
        <f t="shared" si="13"/>
        <v>16578</v>
      </c>
      <c r="C197" s="34" t="str">
        <f t="shared" si="14"/>
        <v>40C2</v>
      </c>
    </row>
    <row r="198" spans="1:3">
      <c r="A198" s="33">
        <v>196</v>
      </c>
      <c r="B198" s="34">
        <f t="shared" si="13"/>
        <v>16579</v>
      </c>
      <c r="C198" s="34" t="str">
        <f t="shared" si="14"/>
        <v>40C3</v>
      </c>
    </row>
    <row r="199" spans="1:3">
      <c r="A199" s="33">
        <v>197</v>
      </c>
      <c r="B199" s="34">
        <f t="shared" si="13"/>
        <v>16580</v>
      </c>
      <c r="C199" s="34" t="str">
        <f t="shared" si="14"/>
        <v>40C4</v>
      </c>
    </row>
    <row r="200" spans="1:3">
      <c r="A200" s="33">
        <v>198</v>
      </c>
      <c r="B200" s="34">
        <f t="shared" si="13"/>
        <v>16581</v>
      </c>
      <c r="C200" s="34" t="str">
        <f t="shared" si="14"/>
        <v>40C5</v>
      </c>
    </row>
    <row r="201" spans="1:3">
      <c r="A201" s="33">
        <v>199</v>
      </c>
      <c r="B201" s="34">
        <f t="shared" si="13"/>
        <v>16582</v>
      </c>
      <c r="C201" s="34" t="str">
        <f t="shared" si="14"/>
        <v>40C6</v>
      </c>
    </row>
    <row r="202" spans="1:3">
      <c r="A202" s="33">
        <v>200</v>
      </c>
      <c r="B202" s="34">
        <f t="shared" si="13"/>
        <v>16583</v>
      </c>
      <c r="C202" s="34" t="str">
        <f t="shared" si="14"/>
        <v>40C7</v>
      </c>
    </row>
    <row r="203" spans="1:3">
      <c r="A203" s="33">
        <v>201</v>
      </c>
      <c r="B203" s="34">
        <f t="shared" si="13"/>
        <v>16584</v>
      </c>
      <c r="C203" s="34" t="str">
        <f t="shared" si="14"/>
        <v>40C8</v>
      </c>
    </row>
    <row r="204" spans="1:3">
      <c r="A204" s="33">
        <v>202</v>
      </c>
      <c r="B204" s="34">
        <f t="shared" si="13"/>
        <v>16585</v>
      </c>
      <c r="C204" s="34" t="str">
        <f t="shared" si="14"/>
        <v>40C9</v>
      </c>
    </row>
    <row r="205" spans="1:3">
      <c r="A205" s="33">
        <v>203</v>
      </c>
      <c r="B205" s="34">
        <f t="shared" si="13"/>
        <v>16586</v>
      </c>
      <c r="C205" s="34" t="str">
        <f t="shared" si="14"/>
        <v>40CA</v>
      </c>
    </row>
    <row r="206" spans="1:3">
      <c r="A206" s="33">
        <v>204</v>
      </c>
      <c r="B206" s="34">
        <f t="shared" si="13"/>
        <v>16587</v>
      </c>
      <c r="C206" s="34" t="str">
        <f t="shared" si="14"/>
        <v>40CB</v>
      </c>
    </row>
    <row r="207" spans="1:3">
      <c r="A207" s="33">
        <v>205</v>
      </c>
      <c r="B207" s="34">
        <f t="shared" si="13"/>
        <v>16588</v>
      </c>
      <c r="C207" s="34" t="str">
        <f t="shared" si="14"/>
        <v>40CC</v>
      </c>
    </row>
    <row r="208" spans="1:3">
      <c r="A208" s="33">
        <v>206</v>
      </c>
      <c r="B208" s="34">
        <f t="shared" si="13"/>
        <v>16589</v>
      </c>
      <c r="C208" s="34" t="str">
        <f t="shared" si="14"/>
        <v>40CD</v>
      </c>
    </row>
    <row r="209" spans="1:3">
      <c r="A209" s="33">
        <v>207</v>
      </c>
      <c r="B209" s="34">
        <f t="shared" si="13"/>
        <v>16590</v>
      </c>
      <c r="C209" s="34" t="str">
        <f t="shared" si="14"/>
        <v>40CE</v>
      </c>
    </row>
    <row r="210" spans="1:3">
      <c r="A210" s="33">
        <v>208</v>
      </c>
      <c r="B210" s="34">
        <f t="shared" si="13"/>
        <v>16591</v>
      </c>
      <c r="C210" s="34" t="str">
        <f t="shared" si="14"/>
        <v>40CF</v>
      </c>
    </row>
    <row r="211" spans="1:3">
      <c r="A211" s="33">
        <v>209</v>
      </c>
      <c r="B211" s="34">
        <f t="shared" si="13"/>
        <v>16592</v>
      </c>
      <c r="C211" s="34" t="str">
        <f t="shared" si="14"/>
        <v>40D0</v>
      </c>
    </row>
    <row r="212" spans="1:3">
      <c r="A212" s="33">
        <v>210</v>
      </c>
      <c r="B212" s="34">
        <f t="shared" si="13"/>
        <v>16593</v>
      </c>
      <c r="C212" s="34" t="str">
        <f t="shared" si="14"/>
        <v>40D1</v>
      </c>
    </row>
    <row r="213" spans="1:3">
      <c r="A213" s="33">
        <v>211</v>
      </c>
      <c r="B213" s="34">
        <f t="shared" si="13"/>
        <v>16594</v>
      </c>
      <c r="C213" s="34" t="str">
        <f t="shared" si="14"/>
        <v>40D2</v>
      </c>
    </row>
    <row r="214" spans="1:3">
      <c r="A214" s="33">
        <v>212</v>
      </c>
      <c r="B214" s="34">
        <f t="shared" si="13"/>
        <v>16595</v>
      </c>
      <c r="C214" s="34" t="str">
        <f t="shared" si="14"/>
        <v>40D3</v>
      </c>
    </row>
    <row r="215" spans="1:3">
      <c r="A215" s="33">
        <v>213</v>
      </c>
      <c r="B215" s="34">
        <f t="shared" si="13"/>
        <v>16596</v>
      </c>
      <c r="C215" s="34" t="str">
        <f t="shared" si="14"/>
        <v>40D4</v>
      </c>
    </row>
    <row r="216" spans="1:3">
      <c r="A216" s="33">
        <v>214</v>
      </c>
      <c r="B216" s="34">
        <f t="shared" si="13"/>
        <v>16597</v>
      </c>
      <c r="C216" s="34" t="str">
        <f t="shared" si="14"/>
        <v>40D5</v>
      </c>
    </row>
    <row r="217" spans="1:3">
      <c r="A217" s="33">
        <v>215</v>
      </c>
      <c r="B217" s="34">
        <f t="shared" si="13"/>
        <v>16598</v>
      </c>
      <c r="C217" s="34" t="str">
        <f t="shared" si="14"/>
        <v>40D6</v>
      </c>
    </row>
    <row r="218" spans="1:3">
      <c r="A218" s="33">
        <v>216</v>
      </c>
      <c r="B218" s="34">
        <f t="shared" si="13"/>
        <v>16599</v>
      </c>
      <c r="C218" s="34" t="str">
        <f t="shared" si="14"/>
        <v>40D7</v>
      </c>
    </row>
    <row r="219" spans="1:3">
      <c r="A219" s="33">
        <v>217</v>
      </c>
      <c r="B219" s="34">
        <f t="shared" si="13"/>
        <v>16600</v>
      </c>
      <c r="C219" s="34" t="str">
        <f t="shared" si="14"/>
        <v>40D8</v>
      </c>
    </row>
    <row r="220" spans="1:3">
      <c r="A220" s="33">
        <v>218</v>
      </c>
      <c r="B220" s="34">
        <f t="shared" si="13"/>
        <v>16601</v>
      </c>
      <c r="C220" s="34" t="str">
        <f t="shared" si="14"/>
        <v>40D9</v>
      </c>
    </row>
  </sheetData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82"/>
  <sheetViews>
    <sheetView tabSelected="1" topLeftCell="A24" workbookViewId="0">
      <selection activeCell="P34" sqref="P34"/>
    </sheetView>
  </sheetViews>
  <sheetFormatPr defaultColWidth="8.73636363636364" defaultRowHeight="14"/>
  <cols>
    <col min="1" max="1" width="5.55454545454545" style="6" customWidth="1"/>
    <col min="2" max="2" width="14" style="6" customWidth="1"/>
    <col min="3" max="3" width="5.55454545454545" style="5" customWidth="1"/>
    <col min="4" max="4" width="7.55454545454545" style="5" customWidth="1"/>
    <col min="5" max="5" width="5.55454545454545" style="5" customWidth="1"/>
    <col min="6" max="6" width="21.6181818181818" style="6" customWidth="1"/>
    <col min="7" max="7" width="9.72727272727273" style="6" customWidth="1"/>
    <col min="8" max="8" width="6.55454545454545" style="6" customWidth="1"/>
    <col min="9" max="9" width="35.8090909090909" style="5" customWidth="1"/>
    <col min="10" max="11" width="7.55454545454545" style="5" customWidth="1"/>
    <col min="12" max="15" width="8.73636363636364" style="5"/>
    <col min="16" max="16" width="9.55454545454545" style="6" customWidth="1"/>
    <col min="17" max="17" width="27.5454545454545" style="6" customWidth="1"/>
    <col min="18" max="18" width="9.55454545454545" style="6" customWidth="1"/>
    <col min="19" max="19" width="7.55454545454545" style="5" customWidth="1"/>
    <col min="20" max="20" width="21.9090909090909" style="7" customWidth="1"/>
    <col min="21" max="16384" width="8.73636363636364" style="5"/>
  </cols>
  <sheetData>
    <row r="1" spans="1:11">
      <c r="A1" s="1" t="s">
        <v>99</v>
      </c>
      <c r="B1" s="1" t="s">
        <v>100</v>
      </c>
      <c r="C1" s="1" t="s">
        <v>101</v>
      </c>
      <c r="D1" s="1" t="s">
        <v>102</v>
      </c>
      <c r="E1" s="1" t="s">
        <v>103</v>
      </c>
      <c r="F1" s="1" t="s">
        <v>104</v>
      </c>
      <c r="G1" s="1" t="s">
        <v>105</v>
      </c>
      <c r="H1" s="1" t="s">
        <v>106</v>
      </c>
      <c r="I1" s="1" t="s">
        <v>107</v>
      </c>
      <c r="J1" s="1" t="s">
        <v>108</v>
      </c>
      <c r="K1" s="1" t="s">
        <v>109</v>
      </c>
    </row>
    <row r="2" s="1" customFormat="1" ht="112" spans="2:9">
      <c r="B2" s="1">
        <f>HEX2DEC(C2)</f>
        <v>16640</v>
      </c>
      <c r="C2" s="1" t="s">
        <v>788</v>
      </c>
      <c r="F2" s="8" t="s">
        <v>789</v>
      </c>
      <c r="G2" s="8"/>
      <c r="H2" s="8"/>
      <c r="I2" s="19" t="s">
        <v>790</v>
      </c>
    </row>
    <row r="3" s="1" customFormat="1" ht="56" spans="1:9">
      <c r="A3" s="1">
        <v>1</v>
      </c>
      <c r="B3" s="6">
        <f>$B$2+A3-1</f>
        <v>16640</v>
      </c>
      <c r="C3" s="6" t="str">
        <f t="shared" ref="C3:C18" si="0">DEC2HEX(B3,4)</f>
        <v>4100</v>
      </c>
      <c r="E3" s="1" t="s">
        <v>112</v>
      </c>
      <c r="F3" s="8" t="s">
        <v>726</v>
      </c>
      <c r="G3" s="8" t="s">
        <v>114</v>
      </c>
      <c r="H3" s="8" t="s">
        <v>88</v>
      </c>
      <c r="I3" s="19" t="s">
        <v>791</v>
      </c>
    </row>
    <row r="4" s="1" customFormat="1" ht="28" spans="1:9">
      <c r="A4" s="1">
        <v>2</v>
      </c>
      <c r="B4" s="6">
        <f>$B$2+A4-1</f>
        <v>16641</v>
      </c>
      <c r="C4" s="6" t="str">
        <f t="shared" si="0"/>
        <v>4101</v>
      </c>
      <c r="E4" s="1" t="s">
        <v>112</v>
      </c>
      <c r="F4" s="8" t="s">
        <v>792</v>
      </c>
      <c r="G4" s="8" t="s">
        <v>114</v>
      </c>
      <c r="H4" s="8" t="s">
        <v>88</v>
      </c>
      <c r="I4" s="19" t="s">
        <v>793</v>
      </c>
    </row>
    <row r="5" s="1" customFormat="1" ht="56" spans="1:9">
      <c r="A5" s="1">
        <v>3</v>
      </c>
      <c r="B5" s="6">
        <f>$B$2+A5-1</f>
        <v>16642</v>
      </c>
      <c r="C5" s="6" t="str">
        <f t="shared" si="0"/>
        <v>4102</v>
      </c>
      <c r="E5" s="1" t="s">
        <v>112</v>
      </c>
      <c r="F5" s="8" t="s">
        <v>344</v>
      </c>
      <c r="G5" s="8" t="s">
        <v>114</v>
      </c>
      <c r="H5" s="8" t="s">
        <v>88</v>
      </c>
      <c r="I5" s="19" t="s">
        <v>465</v>
      </c>
    </row>
    <row r="6" s="1" customFormat="1" ht="28" spans="1:9">
      <c r="A6" s="1">
        <v>4</v>
      </c>
      <c r="B6" s="6">
        <f>$B$2+A6-1</f>
        <v>16643</v>
      </c>
      <c r="C6" s="6" t="str">
        <f t="shared" si="0"/>
        <v>4103</v>
      </c>
      <c r="E6" s="1" t="s">
        <v>112</v>
      </c>
      <c r="F6" s="8" t="s">
        <v>466</v>
      </c>
      <c r="G6" s="8" t="s">
        <v>114</v>
      </c>
      <c r="H6" s="8" t="s">
        <v>88</v>
      </c>
      <c r="I6" s="19" t="s">
        <v>794</v>
      </c>
    </row>
    <row r="7" s="2" customFormat="1" ht="42" spans="1:9">
      <c r="A7" s="2">
        <v>5</v>
      </c>
      <c r="B7" s="9">
        <f>$B$2+A7-1</f>
        <v>16644</v>
      </c>
      <c r="C7" s="9" t="str">
        <f t="shared" si="0"/>
        <v>4104</v>
      </c>
      <c r="E7" s="2" t="s">
        <v>112</v>
      </c>
      <c r="F7" s="10" t="s">
        <v>346</v>
      </c>
      <c r="G7" s="10" t="s">
        <v>114</v>
      </c>
      <c r="H7" s="10" t="s">
        <v>88</v>
      </c>
      <c r="I7" s="20" t="s">
        <v>795</v>
      </c>
    </row>
    <row r="8" s="2" customFormat="1" ht="210" spans="1:9">
      <c r="A8" s="2">
        <v>6</v>
      </c>
      <c r="B8" s="9">
        <f>$B$2+A8-1</f>
        <v>16645</v>
      </c>
      <c r="C8" s="9" t="str">
        <f t="shared" si="0"/>
        <v>4105</v>
      </c>
      <c r="E8" s="2" t="s">
        <v>112</v>
      </c>
      <c r="F8" s="10" t="s">
        <v>796</v>
      </c>
      <c r="G8" s="10" t="s">
        <v>114</v>
      </c>
      <c r="H8" s="10" t="s">
        <v>797</v>
      </c>
      <c r="I8" s="20" t="s">
        <v>798</v>
      </c>
    </row>
    <row r="9" s="1" customFormat="1" ht="182" spans="1:9">
      <c r="A9" s="1">
        <v>7</v>
      </c>
      <c r="B9" s="6">
        <f>$B$2+A9-1</f>
        <v>16646</v>
      </c>
      <c r="C9" s="6" t="str">
        <f t="shared" si="0"/>
        <v>4106</v>
      </c>
      <c r="E9" s="1" t="s">
        <v>112</v>
      </c>
      <c r="F9" s="8" t="s">
        <v>401</v>
      </c>
      <c r="G9" s="8" t="s">
        <v>114</v>
      </c>
      <c r="H9" s="8" t="s">
        <v>88</v>
      </c>
      <c r="I9" s="19" t="s">
        <v>799</v>
      </c>
    </row>
    <row r="10" s="1" customFormat="1" ht="70" spans="1:9">
      <c r="A10" s="1">
        <v>8</v>
      </c>
      <c r="B10" s="6">
        <f>$B$2+A10-1</f>
        <v>16647</v>
      </c>
      <c r="C10" s="6" t="str">
        <f t="shared" si="0"/>
        <v>4107</v>
      </c>
      <c r="E10" s="1" t="s">
        <v>112</v>
      </c>
      <c r="F10" s="11" t="s">
        <v>351</v>
      </c>
      <c r="G10" s="8" t="s">
        <v>114</v>
      </c>
      <c r="H10" s="8" t="s">
        <v>88</v>
      </c>
      <c r="I10" s="19" t="s">
        <v>800</v>
      </c>
    </row>
    <row r="11" s="1" customFormat="1" ht="42" spans="1:9">
      <c r="A11" s="1">
        <v>9</v>
      </c>
      <c r="B11" s="6">
        <f>$B$2+A11-1</f>
        <v>16648</v>
      </c>
      <c r="C11" s="6" t="str">
        <f t="shared" si="0"/>
        <v>4108</v>
      </c>
      <c r="E11" s="1" t="s">
        <v>112</v>
      </c>
      <c r="F11" s="11" t="s">
        <v>801</v>
      </c>
      <c r="G11" s="8" t="s">
        <v>114</v>
      </c>
      <c r="H11" s="8" t="s">
        <v>232</v>
      </c>
      <c r="I11" s="19" t="s">
        <v>802</v>
      </c>
    </row>
    <row r="12" s="1" customFormat="1" ht="28" spans="1:9">
      <c r="A12" s="1">
        <v>10</v>
      </c>
      <c r="B12" s="6">
        <f>$B$2+A12-1</f>
        <v>16649</v>
      </c>
      <c r="C12" s="6" t="str">
        <f t="shared" si="0"/>
        <v>4109</v>
      </c>
      <c r="E12" s="1" t="s">
        <v>112</v>
      </c>
      <c r="F12" s="12" t="s">
        <v>803</v>
      </c>
      <c r="G12" s="8" t="s">
        <v>114</v>
      </c>
      <c r="H12" s="8" t="s">
        <v>232</v>
      </c>
      <c r="I12" s="19" t="s">
        <v>804</v>
      </c>
    </row>
    <row r="13" s="1" customFormat="1" ht="42" spans="1:9">
      <c r="A13" s="1">
        <v>11</v>
      </c>
      <c r="B13" s="6">
        <f>$B$2+A13-1</f>
        <v>16650</v>
      </c>
      <c r="C13" s="6" t="str">
        <f t="shared" si="0"/>
        <v>410A</v>
      </c>
      <c r="E13" s="1" t="s">
        <v>112</v>
      </c>
      <c r="F13" s="11" t="s">
        <v>805</v>
      </c>
      <c r="G13" s="8" t="s">
        <v>114</v>
      </c>
      <c r="H13" s="8" t="s">
        <v>232</v>
      </c>
      <c r="I13" s="19" t="s">
        <v>806</v>
      </c>
    </row>
    <row r="14" s="1" customFormat="1" ht="42" spans="1:9">
      <c r="A14" s="1">
        <v>12</v>
      </c>
      <c r="B14" s="6">
        <f>$B$2+A14-1</f>
        <v>16651</v>
      </c>
      <c r="C14" s="6" t="str">
        <f t="shared" si="0"/>
        <v>410B</v>
      </c>
      <c r="E14" s="1" t="s">
        <v>112</v>
      </c>
      <c r="F14" s="11" t="s">
        <v>807</v>
      </c>
      <c r="G14" s="8" t="s">
        <v>114</v>
      </c>
      <c r="H14" s="8" t="s">
        <v>232</v>
      </c>
      <c r="I14" s="19" t="s">
        <v>808</v>
      </c>
    </row>
    <row r="15" s="1" customFormat="1" ht="28" spans="1:9">
      <c r="A15" s="1">
        <v>13</v>
      </c>
      <c r="B15" s="6">
        <f>$B$2+A15-1</f>
        <v>16652</v>
      </c>
      <c r="C15" s="6" t="str">
        <f t="shared" si="0"/>
        <v>410C</v>
      </c>
      <c r="E15" s="1" t="s">
        <v>112</v>
      </c>
      <c r="F15" s="8" t="s">
        <v>809</v>
      </c>
      <c r="G15" s="8" t="s">
        <v>114</v>
      </c>
      <c r="H15" s="8" t="s">
        <v>232</v>
      </c>
      <c r="I15" s="19" t="s">
        <v>810</v>
      </c>
    </row>
    <row r="16" s="1" customFormat="1" ht="28" spans="1:9">
      <c r="A16" s="1">
        <v>14</v>
      </c>
      <c r="B16" s="6">
        <f>$B$2+A16-1</f>
        <v>16653</v>
      </c>
      <c r="C16" s="6" t="str">
        <f t="shared" si="0"/>
        <v>410D</v>
      </c>
      <c r="E16" s="1" t="s">
        <v>112</v>
      </c>
      <c r="F16" s="8" t="s">
        <v>811</v>
      </c>
      <c r="G16" s="8" t="s">
        <v>114</v>
      </c>
      <c r="H16" s="8" t="s">
        <v>232</v>
      </c>
      <c r="I16" s="19" t="s">
        <v>812</v>
      </c>
    </row>
    <row r="17" s="1" customFormat="1" ht="28" spans="1:9">
      <c r="A17" s="1">
        <v>15</v>
      </c>
      <c r="B17" s="6">
        <f>$B$2+A17-1</f>
        <v>16654</v>
      </c>
      <c r="C17" s="6" t="str">
        <f t="shared" si="0"/>
        <v>410E</v>
      </c>
      <c r="E17" s="1" t="s">
        <v>112</v>
      </c>
      <c r="F17" s="11" t="s">
        <v>813</v>
      </c>
      <c r="G17" s="8" t="s">
        <v>114</v>
      </c>
      <c r="H17" s="8" t="s">
        <v>814</v>
      </c>
      <c r="I17" s="19" t="s">
        <v>815</v>
      </c>
    </row>
    <row r="18" ht="28" spans="1:9">
      <c r="A18" s="1">
        <v>16</v>
      </c>
      <c r="B18" s="6">
        <f>$B$2+A18-1</f>
        <v>16655</v>
      </c>
      <c r="C18" s="6" t="str">
        <f t="shared" si="0"/>
        <v>410F</v>
      </c>
      <c r="E18" s="1" t="s">
        <v>112</v>
      </c>
      <c r="F18" s="11" t="s">
        <v>816</v>
      </c>
      <c r="G18" s="8" t="s">
        <v>114</v>
      </c>
      <c r="H18" s="8" t="s">
        <v>814</v>
      </c>
      <c r="I18" s="19" t="s">
        <v>817</v>
      </c>
    </row>
    <row r="19" ht="70" spans="1:9">
      <c r="A19" s="1">
        <v>17</v>
      </c>
      <c r="B19" s="6">
        <f t="shared" ref="B19:B69" si="1">$B$2+A19-1</f>
        <v>16656</v>
      </c>
      <c r="C19" s="6" t="str">
        <f t="shared" ref="C19:C67" si="2">DEC2HEX(B19,4)</f>
        <v>4110</v>
      </c>
      <c r="E19" s="1" t="s">
        <v>112</v>
      </c>
      <c r="F19" s="11" t="s">
        <v>342</v>
      </c>
      <c r="G19" s="8" t="s">
        <v>114</v>
      </c>
      <c r="H19" s="11" t="s">
        <v>88</v>
      </c>
      <c r="I19" s="19" t="s">
        <v>818</v>
      </c>
    </row>
    <row r="20" spans="1:20">
      <c r="A20" s="1">
        <v>18</v>
      </c>
      <c r="B20" s="6">
        <f t="shared" si="1"/>
        <v>16657</v>
      </c>
      <c r="C20" s="6" t="str">
        <f t="shared" si="2"/>
        <v>4111</v>
      </c>
      <c r="E20" s="1" t="s">
        <v>112</v>
      </c>
      <c r="F20" s="11" t="s">
        <v>819</v>
      </c>
      <c r="G20" s="8" t="s">
        <v>114</v>
      </c>
      <c r="H20" s="11" t="s">
        <v>88</v>
      </c>
      <c r="I20" s="14" t="s">
        <v>820</v>
      </c>
      <c r="P20" s="5"/>
      <c r="Q20" s="5"/>
      <c r="R20" s="5"/>
      <c r="T20" s="5"/>
    </row>
    <row r="21" ht="28" spans="1:20">
      <c r="A21" s="1">
        <v>19</v>
      </c>
      <c r="B21" s="6">
        <f t="shared" si="1"/>
        <v>16658</v>
      </c>
      <c r="C21" s="6" t="str">
        <f t="shared" si="2"/>
        <v>4112</v>
      </c>
      <c r="E21" s="1" t="s">
        <v>112</v>
      </c>
      <c r="F21" s="11" t="s">
        <v>821</v>
      </c>
      <c r="G21" s="8" t="s">
        <v>114</v>
      </c>
      <c r="H21" s="11" t="s">
        <v>88</v>
      </c>
      <c r="I21" s="21" t="s">
        <v>822</v>
      </c>
      <c r="P21" s="5"/>
      <c r="Q21" s="5"/>
      <c r="R21" s="5"/>
      <c r="T21" s="5"/>
    </row>
    <row r="22" spans="1:20">
      <c r="A22" s="1">
        <v>20</v>
      </c>
      <c r="B22" s="6">
        <f t="shared" si="1"/>
        <v>16659</v>
      </c>
      <c r="C22" s="6" t="str">
        <f t="shared" si="2"/>
        <v>4113</v>
      </c>
      <c r="E22" s="1" t="s">
        <v>112</v>
      </c>
      <c r="F22" s="11" t="s">
        <v>823</v>
      </c>
      <c r="G22" s="8" t="s">
        <v>114</v>
      </c>
      <c r="H22" s="8" t="s">
        <v>232</v>
      </c>
      <c r="I22" s="14" t="s">
        <v>824</v>
      </c>
      <c r="P22" s="5"/>
      <c r="Q22" s="5"/>
      <c r="R22" s="5"/>
      <c r="T22" s="5"/>
    </row>
    <row r="23" spans="1:20">
      <c r="A23" s="1">
        <v>21</v>
      </c>
      <c r="B23" s="6">
        <f t="shared" si="1"/>
        <v>16660</v>
      </c>
      <c r="C23" s="6" t="str">
        <f t="shared" si="2"/>
        <v>4114</v>
      </c>
      <c r="E23" s="1" t="s">
        <v>112</v>
      </c>
      <c r="F23" s="11" t="s">
        <v>381</v>
      </c>
      <c r="G23" s="8" t="s">
        <v>114</v>
      </c>
      <c r="H23" s="11" t="s">
        <v>825</v>
      </c>
      <c r="I23" s="14" t="s">
        <v>826</v>
      </c>
      <c r="P23" s="5"/>
      <c r="Q23" s="5"/>
      <c r="R23" s="5"/>
      <c r="T23" s="5"/>
    </row>
    <row r="24" spans="1:20">
      <c r="A24" s="1">
        <v>22</v>
      </c>
      <c r="B24" s="6">
        <f t="shared" si="1"/>
        <v>16661</v>
      </c>
      <c r="C24" s="6" t="str">
        <f t="shared" si="2"/>
        <v>4115</v>
      </c>
      <c r="E24" s="1" t="s">
        <v>112</v>
      </c>
      <c r="F24" s="11" t="s">
        <v>827</v>
      </c>
      <c r="G24" s="8" t="s">
        <v>114</v>
      </c>
      <c r="H24" s="11" t="s">
        <v>825</v>
      </c>
      <c r="I24" s="14" t="s">
        <v>826</v>
      </c>
      <c r="P24" s="5"/>
      <c r="Q24" s="5"/>
      <c r="R24" s="5"/>
      <c r="T24" s="5"/>
    </row>
    <row r="25" spans="1:20">
      <c r="A25" s="1">
        <v>23</v>
      </c>
      <c r="B25" s="6">
        <f t="shared" si="1"/>
        <v>16662</v>
      </c>
      <c r="C25" s="6" t="str">
        <f t="shared" si="2"/>
        <v>4116</v>
      </c>
      <c r="E25" s="1" t="s">
        <v>112</v>
      </c>
      <c r="F25" s="11" t="s">
        <v>828</v>
      </c>
      <c r="G25" s="8" t="s">
        <v>114</v>
      </c>
      <c r="H25" s="11" t="s">
        <v>829</v>
      </c>
      <c r="I25" s="14" t="s">
        <v>830</v>
      </c>
      <c r="P25" s="5"/>
      <c r="Q25" s="5"/>
      <c r="R25" s="5"/>
      <c r="T25" s="5"/>
    </row>
    <row r="26" ht="28" spans="1:20">
      <c r="A26" s="1">
        <v>24</v>
      </c>
      <c r="B26" s="6">
        <f t="shared" si="1"/>
        <v>16663</v>
      </c>
      <c r="C26" s="6" t="str">
        <f t="shared" si="2"/>
        <v>4117</v>
      </c>
      <c r="E26" s="1" t="s">
        <v>112</v>
      </c>
      <c r="F26" s="11" t="s">
        <v>831</v>
      </c>
      <c r="G26" s="8" t="s">
        <v>114</v>
      </c>
      <c r="H26" s="11" t="s">
        <v>88</v>
      </c>
      <c r="I26" s="21" t="s">
        <v>822</v>
      </c>
      <c r="P26" s="5"/>
      <c r="Q26" s="5"/>
      <c r="R26" s="5"/>
      <c r="T26" s="5"/>
    </row>
    <row r="27" s="3" customFormat="1" spans="1:9">
      <c r="A27" s="1">
        <v>25</v>
      </c>
      <c r="B27" s="6">
        <f t="shared" si="1"/>
        <v>16664</v>
      </c>
      <c r="C27" s="3" t="str">
        <f t="shared" si="2"/>
        <v>4118</v>
      </c>
      <c r="E27" s="13" t="s">
        <v>112</v>
      </c>
      <c r="F27" s="11" t="s">
        <v>832</v>
      </c>
      <c r="G27" s="14" t="s">
        <v>114</v>
      </c>
      <c r="H27" s="14" t="s">
        <v>232</v>
      </c>
      <c r="I27" s="15" t="s">
        <v>833</v>
      </c>
    </row>
    <row r="28" s="3" customFormat="1" ht="42" spans="1:9">
      <c r="A28" s="1">
        <v>26</v>
      </c>
      <c r="B28" s="6">
        <f t="shared" si="1"/>
        <v>16665</v>
      </c>
      <c r="C28" s="3" t="str">
        <f t="shared" si="2"/>
        <v>4119</v>
      </c>
      <c r="E28" s="13" t="s">
        <v>112</v>
      </c>
      <c r="F28" s="11" t="s">
        <v>834</v>
      </c>
      <c r="G28" s="14" t="s">
        <v>114</v>
      </c>
      <c r="H28" s="15" t="s">
        <v>825</v>
      </c>
      <c r="I28" s="22" t="s">
        <v>835</v>
      </c>
    </row>
    <row r="29" ht="28" spans="1:20">
      <c r="A29" s="1">
        <v>27</v>
      </c>
      <c r="B29" s="6">
        <f t="shared" si="1"/>
        <v>16666</v>
      </c>
      <c r="C29" s="6" t="str">
        <f t="shared" si="2"/>
        <v>411A</v>
      </c>
      <c r="E29" s="1" t="s">
        <v>112</v>
      </c>
      <c r="F29" s="11" t="s">
        <v>836</v>
      </c>
      <c r="G29" s="8" t="s">
        <v>114</v>
      </c>
      <c r="H29" s="11" t="s">
        <v>88</v>
      </c>
      <c r="I29" s="21" t="s">
        <v>822</v>
      </c>
      <c r="P29" s="5"/>
      <c r="Q29" s="5"/>
      <c r="R29" s="5"/>
      <c r="T29" s="5"/>
    </row>
    <row r="30" spans="1:20">
      <c r="A30" s="1">
        <v>28</v>
      </c>
      <c r="B30" s="6">
        <f t="shared" si="1"/>
        <v>16667</v>
      </c>
      <c r="C30" s="6" t="str">
        <f t="shared" si="2"/>
        <v>411B</v>
      </c>
      <c r="E30" s="1" t="s">
        <v>112</v>
      </c>
      <c r="F30" s="11" t="s">
        <v>837</v>
      </c>
      <c r="G30" s="8" t="s">
        <v>114</v>
      </c>
      <c r="H30" s="11" t="s">
        <v>838</v>
      </c>
      <c r="I30" s="23" t="s">
        <v>839</v>
      </c>
      <c r="P30" s="5"/>
      <c r="Q30" s="5"/>
      <c r="R30" s="5"/>
      <c r="T30" s="5"/>
    </row>
    <row r="31" spans="1:20">
      <c r="A31" s="1">
        <v>29</v>
      </c>
      <c r="B31" s="6">
        <f t="shared" si="1"/>
        <v>16668</v>
      </c>
      <c r="C31" s="6" t="str">
        <f t="shared" si="2"/>
        <v>411C</v>
      </c>
      <c r="E31" s="1" t="s">
        <v>112</v>
      </c>
      <c r="F31" s="11" t="s">
        <v>840</v>
      </c>
      <c r="G31" s="8" t="s">
        <v>114</v>
      </c>
      <c r="H31" s="11" t="s">
        <v>838</v>
      </c>
      <c r="I31" s="23" t="s">
        <v>839</v>
      </c>
      <c r="P31" s="5"/>
      <c r="Q31" s="5"/>
      <c r="R31" s="5"/>
      <c r="T31" s="5"/>
    </row>
    <row r="32" ht="28" spans="1:20">
      <c r="A32" s="1">
        <v>30</v>
      </c>
      <c r="B32" s="6">
        <f t="shared" si="1"/>
        <v>16669</v>
      </c>
      <c r="C32" s="6" t="str">
        <f t="shared" si="2"/>
        <v>411D</v>
      </c>
      <c r="E32" s="1" t="s">
        <v>112</v>
      </c>
      <c r="F32" s="11" t="s">
        <v>841</v>
      </c>
      <c r="G32" s="8" t="s">
        <v>114</v>
      </c>
      <c r="H32" s="11" t="s">
        <v>88</v>
      </c>
      <c r="I32" s="21" t="s">
        <v>822</v>
      </c>
      <c r="P32" s="5"/>
      <c r="Q32" s="5"/>
      <c r="R32" s="5"/>
      <c r="T32" s="5"/>
    </row>
    <row r="33" ht="98" spans="1:20">
      <c r="A33" s="1">
        <v>31</v>
      </c>
      <c r="B33" s="6">
        <f t="shared" si="1"/>
        <v>16670</v>
      </c>
      <c r="C33" s="6" t="str">
        <f t="shared" si="2"/>
        <v>411E</v>
      </c>
      <c r="E33" s="1" t="s">
        <v>112</v>
      </c>
      <c r="F33" s="11" t="s">
        <v>842</v>
      </c>
      <c r="G33" s="8" t="s">
        <v>114</v>
      </c>
      <c r="H33" s="11" t="s">
        <v>88</v>
      </c>
      <c r="I33" s="24" t="s">
        <v>843</v>
      </c>
      <c r="P33" s="5"/>
      <c r="Q33" s="5"/>
      <c r="R33" s="5"/>
      <c r="T33" s="5"/>
    </row>
    <row r="34" ht="28" spans="1:20">
      <c r="A34" s="1">
        <v>32</v>
      </c>
      <c r="B34" s="6">
        <f t="shared" si="1"/>
        <v>16671</v>
      </c>
      <c r="C34" s="6" t="str">
        <f t="shared" si="2"/>
        <v>411F</v>
      </c>
      <c r="E34" s="1" t="s">
        <v>112</v>
      </c>
      <c r="F34" s="11" t="s">
        <v>844</v>
      </c>
      <c r="G34" s="8" t="s">
        <v>114</v>
      </c>
      <c r="H34" s="11" t="s">
        <v>88</v>
      </c>
      <c r="I34" s="24" t="s">
        <v>845</v>
      </c>
      <c r="P34" s="5"/>
      <c r="Q34" s="5"/>
      <c r="R34" s="5"/>
      <c r="T34" s="5"/>
    </row>
    <row r="35" ht="28" spans="1:20">
      <c r="A35" s="1">
        <v>33</v>
      </c>
      <c r="B35" s="6">
        <f t="shared" si="1"/>
        <v>16672</v>
      </c>
      <c r="C35" s="6" t="str">
        <f t="shared" si="2"/>
        <v>4120</v>
      </c>
      <c r="E35" s="1" t="s">
        <v>112</v>
      </c>
      <c r="F35" s="11" t="s">
        <v>846</v>
      </c>
      <c r="G35" s="8" t="s">
        <v>114</v>
      </c>
      <c r="H35" s="16">
        <v>0.01</v>
      </c>
      <c r="I35" s="19" t="s">
        <v>847</v>
      </c>
      <c r="P35" s="5"/>
      <c r="Q35" s="5"/>
      <c r="R35" s="5"/>
      <c r="T35" s="5"/>
    </row>
    <row r="36" ht="28" spans="1:20">
      <c r="A36" s="1">
        <v>34</v>
      </c>
      <c r="B36" s="6">
        <f t="shared" si="1"/>
        <v>16673</v>
      </c>
      <c r="C36" s="6" t="str">
        <f t="shared" si="2"/>
        <v>4121</v>
      </c>
      <c r="E36" s="1" t="s">
        <v>112</v>
      </c>
      <c r="F36" s="11" t="s">
        <v>848</v>
      </c>
      <c r="G36" s="8" t="s">
        <v>114</v>
      </c>
      <c r="H36" s="16">
        <v>0.01</v>
      </c>
      <c r="I36" s="19" t="s">
        <v>849</v>
      </c>
      <c r="P36" s="5"/>
      <c r="Q36" s="5"/>
      <c r="R36" s="5"/>
      <c r="T36" s="5"/>
    </row>
    <row r="37" ht="28" spans="1:20">
      <c r="A37" s="1">
        <v>35</v>
      </c>
      <c r="B37" s="6">
        <f t="shared" si="1"/>
        <v>16674</v>
      </c>
      <c r="C37" s="6" t="str">
        <f t="shared" si="2"/>
        <v>4122</v>
      </c>
      <c r="E37" s="1" t="s">
        <v>112</v>
      </c>
      <c r="F37" s="11" t="s">
        <v>850</v>
      </c>
      <c r="G37" s="8" t="s">
        <v>114</v>
      </c>
      <c r="H37" s="16">
        <v>0.01</v>
      </c>
      <c r="I37" s="19" t="s">
        <v>851</v>
      </c>
      <c r="P37" s="5"/>
      <c r="Q37" s="5"/>
      <c r="R37" s="5"/>
      <c r="T37" s="5"/>
    </row>
    <row r="38" ht="42" spans="1:20">
      <c r="A38" s="1">
        <v>36</v>
      </c>
      <c r="B38" s="6">
        <f t="shared" si="1"/>
        <v>16675</v>
      </c>
      <c r="C38" s="6" t="str">
        <f t="shared" si="2"/>
        <v>4123</v>
      </c>
      <c r="E38" s="1" t="s">
        <v>112</v>
      </c>
      <c r="F38" s="11" t="s">
        <v>852</v>
      </c>
      <c r="G38" s="8" t="s">
        <v>114</v>
      </c>
      <c r="H38" s="11" t="s">
        <v>88</v>
      </c>
      <c r="I38" s="21" t="s">
        <v>853</v>
      </c>
      <c r="P38" s="5"/>
      <c r="Q38" s="5"/>
      <c r="R38" s="5"/>
      <c r="T38" s="5"/>
    </row>
    <row r="39" ht="28" spans="1:20">
      <c r="A39" s="1">
        <v>37</v>
      </c>
      <c r="B39" s="6">
        <f t="shared" si="1"/>
        <v>16676</v>
      </c>
      <c r="C39" s="6" t="str">
        <f t="shared" si="2"/>
        <v>4124</v>
      </c>
      <c r="E39" s="1" t="s">
        <v>112</v>
      </c>
      <c r="F39" s="11" t="s">
        <v>854</v>
      </c>
      <c r="G39" s="8" t="s">
        <v>114</v>
      </c>
      <c r="H39" s="11" t="s">
        <v>88</v>
      </c>
      <c r="I39" s="21" t="s">
        <v>822</v>
      </c>
      <c r="P39" s="5"/>
      <c r="Q39" s="5"/>
      <c r="R39" s="5"/>
      <c r="T39" s="5"/>
    </row>
    <row r="40" ht="28" spans="1:20">
      <c r="A40" s="1">
        <v>38</v>
      </c>
      <c r="B40" s="6">
        <f t="shared" si="1"/>
        <v>16677</v>
      </c>
      <c r="C40" s="6" t="str">
        <f t="shared" si="2"/>
        <v>4125</v>
      </c>
      <c r="E40" s="1" t="s">
        <v>112</v>
      </c>
      <c r="F40" s="11" t="s">
        <v>855</v>
      </c>
      <c r="G40" s="8" t="s">
        <v>114</v>
      </c>
      <c r="H40" s="11" t="s">
        <v>88</v>
      </c>
      <c r="I40" s="21" t="s">
        <v>822</v>
      </c>
      <c r="P40" s="5"/>
      <c r="Q40" s="5"/>
      <c r="R40" s="5"/>
      <c r="T40" s="5"/>
    </row>
    <row r="41" spans="1:20">
      <c r="A41" s="1">
        <v>39</v>
      </c>
      <c r="B41" s="6">
        <f t="shared" si="1"/>
        <v>16678</v>
      </c>
      <c r="C41" s="6" t="str">
        <f t="shared" si="2"/>
        <v>4126</v>
      </c>
      <c r="E41" s="1" t="s">
        <v>112</v>
      </c>
      <c r="F41" s="11" t="s">
        <v>609</v>
      </c>
      <c r="G41" s="8" t="s">
        <v>88</v>
      </c>
      <c r="H41" s="11" t="s">
        <v>88</v>
      </c>
      <c r="I41" s="21" t="s">
        <v>88</v>
      </c>
      <c r="P41" s="5"/>
      <c r="Q41" s="5"/>
      <c r="R41" s="5"/>
      <c r="T41" s="5"/>
    </row>
    <row r="42" ht="28" spans="1:20">
      <c r="A42" s="1">
        <v>40</v>
      </c>
      <c r="B42" s="6">
        <f t="shared" si="1"/>
        <v>16679</v>
      </c>
      <c r="C42" s="6" t="str">
        <f t="shared" si="2"/>
        <v>4127</v>
      </c>
      <c r="E42" s="1" t="s">
        <v>112</v>
      </c>
      <c r="F42" s="11" t="s">
        <v>856</v>
      </c>
      <c r="G42" s="8" t="s">
        <v>114</v>
      </c>
      <c r="H42" s="11" t="s">
        <v>88</v>
      </c>
      <c r="I42" s="21" t="s">
        <v>822</v>
      </c>
      <c r="P42" s="5"/>
      <c r="Q42" s="5"/>
      <c r="R42" s="5"/>
      <c r="T42" s="5"/>
    </row>
    <row r="43" ht="28" spans="1:20">
      <c r="A43" s="1">
        <v>41</v>
      </c>
      <c r="B43" s="6">
        <f t="shared" si="1"/>
        <v>16680</v>
      </c>
      <c r="C43" s="6" t="str">
        <f t="shared" si="2"/>
        <v>4128</v>
      </c>
      <c r="E43" s="1" t="s">
        <v>112</v>
      </c>
      <c r="F43" s="11" t="s">
        <v>857</v>
      </c>
      <c r="G43" s="8" t="s">
        <v>114</v>
      </c>
      <c r="H43" s="11" t="s">
        <v>88</v>
      </c>
      <c r="I43" s="21" t="s">
        <v>822</v>
      </c>
      <c r="P43" s="5"/>
      <c r="Q43" s="5"/>
      <c r="R43" s="5"/>
      <c r="T43" s="5"/>
    </row>
    <row r="44" ht="28" spans="1:20">
      <c r="A44" s="1">
        <v>42</v>
      </c>
      <c r="B44" s="6">
        <f t="shared" si="1"/>
        <v>16681</v>
      </c>
      <c r="C44" s="6" t="str">
        <f t="shared" si="2"/>
        <v>4129</v>
      </c>
      <c r="E44" s="1" t="s">
        <v>112</v>
      </c>
      <c r="F44" s="11" t="s">
        <v>858</v>
      </c>
      <c r="G44" s="8" t="s">
        <v>114</v>
      </c>
      <c r="H44" s="11" t="s">
        <v>88</v>
      </c>
      <c r="I44" s="21" t="s">
        <v>822</v>
      </c>
      <c r="P44" s="5"/>
      <c r="Q44" s="5"/>
      <c r="R44" s="5"/>
      <c r="T44" s="5"/>
    </row>
    <row r="45" ht="28" spans="1:20">
      <c r="A45" s="1">
        <v>43</v>
      </c>
      <c r="B45" s="6">
        <f t="shared" si="1"/>
        <v>16682</v>
      </c>
      <c r="C45" s="6" t="str">
        <f t="shared" si="2"/>
        <v>412A</v>
      </c>
      <c r="E45" s="1" t="s">
        <v>112</v>
      </c>
      <c r="F45" s="11" t="s">
        <v>859</v>
      </c>
      <c r="G45" s="8" t="s">
        <v>114</v>
      </c>
      <c r="H45" s="11" t="s">
        <v>88</v>
      </c>
      <c r="I45" s="21" t="s">
        <v>822</v>
      </c>
      <c r="P45" s="5"/>
      <c r="Q45" s="5"/>
      <c r="R45" s="5"/>
      <c r="T45" s="5"/>
    </row>
    <row r="46" ht="28" spans="1:20">
      <c r="A46" s="1">
        <v>44</v>
      </c>
      <c r="B46" s="6">
        <f t="shared" si="1"/>
        <v>16683</v>
      </c>
      <c r="C46" s="6" t="str">
        <f t="shared" si="2"/>
        <v>412B</v>
      </c>
      <c r="E46" s="1" t="s">
        <v>112</v>
      </c>
      <c r="F46" s="11" t="s">
        <v>860</v>
      </c>
      <c r="G46" s="8" t="s">
        <v>114</v>
      </c>
      <c r="H46" s="11" t="s">
        <v>88</v>
      </c>
      <c r="I46" s="21" t="s">
        <v>822</v>
      </c>
      <c r="P46" s="5"/>
      <c r="Q46" s="5"/>
      <c r="R46" s="5"/>
      <c r="T46" s="5"/>
    </row>
    <row r="47" ht="28" spans="1:20">
      <c r="A47" s="1">
        <v>45</v>
      </c>
      <c r="B47" s="6">
        <f t="shared" si="1"/>
        <v>16684</v>
      </c>
      <c r="C47" s="6" t="str">
        <f t="shared" si="2"/>
        <v>412C</v>
      </c>
      <c r="E47" s="1" t="s">
        <v>112</v>
      </c>
      <c r="F47" s="11" t="s">
        <v>861</v>
      </c>
      <c r="G47" s="8" t="s">
        <v>114</v>
      </c>
      <c r="H47" s="11" t="s">
        <v>88</v>
      </c>
      <c r="I47" s="21" t="s">
        <v>822</v>
      </c>
      <c r="P47" s="5"/>
      <c r="Q47" s="5"/>
      <c r="R47" s="5"/>
      <c r="T47" s="5"/>
    </row>
    <row r="48" ht="28" spans="1:20">
      <c r="A48" s="1">
        <v>46</v>
      </c>
      <c r="B48" s="6">
        <f t="shared" si="1"/>
        <v>16685</v>
      </c>
      <c r="C48" s="6" t="str">
        <f t="shared" si="2"/>
        <v>412D</v>
      </c>
      <c r="E48" s="1" t="s">
        <v>112</v>
      </c>
      <c r="F48" s="11" t="s">
        <v>862</v>
      </c>
      <c r="G48" s="8" t="s">
        <v>114</v>
      </c>
      <c r="H48" s="11" t="s">
        <v>88</v>
      </c>
      <c r="I48" s="21" t="s">
        <v>822</v>
      </c>
      <c r="P48" s="5"/>
      <c r="Q48" s="5"/>
      <c r="R48" s="5"/>
      <c r="T48" s="5"/>
    </row>
    <row r="49" s="4" customFormat="1" ht="56" spans="1:9">
      <c r="A49" s="2">
        <v>47</v>
      </c>
      <c r="B49" s="9">
        <f t="shared" si="1"/>
        <v>16686</v>
      </c>
      <c r="C49" s="9" t="str">
        <f t="shared" si="2"/>
        <v>412E</v>
      </c>
      <c r="D49" s="17"/>
      <c r="E49" s="2" t="s">
        <v>112</v>
      </c>
      <c r="F49" s="18" t="s">
        <v>863</v>
      </c>
      <c r="G49" s="10" t="s">
        <v>114</v>
      </c>
      <c r="H49" s="18" t="s">
        <v>88</v>
      </c>
      <c r="I49" s="25" t="s">
        <v>864</v>
      </c>
    </row>
    <row r="50" s="5" customFormat="1" spans="1:9">
      <c r="A50" s="1">
        <v>48</v>
      </c>
      <c r="B50" s="6">
        <f t="shared" si="1"/>
        <v>16687</v>
      </c>
      <c r="C50" s="6" t="str">
        <f t="shared" si="2"/>
        <v>412F</v>
      </c>
      <c r="E50" s="1" t="s">
        <v>112</v>
      </c>
      <c r="F50" s="11" t="s">
        <v>865</v>
      </c>
      <c r="G50" s="8" t="s">
        <v>114</v>
      </c>
      <c r="H50" s="11" t="s">
        <v>838</v>
      </c>
      <c r="I50" s="24" t="s">
        <v>839</v>
      </c>
    </row>
    <row r="51" ht="28" spans="1:20">
      <c r="A51" s="1">
        <v>49</v>
      </c>
      <c r="B51" s="6">
        <f t="shared" si="1"/>
        <v>16688</v>
      </c>
      <c r="C51" s="6" t="str">
        <f t="shared" si="2"/>
        <v>4130</v>
      </c>
      <c r="E51" s="1" t="s">
        <v>112</v>
      </c>
      <c r="F51" s="11" t="s">
        <v>866</v>
      </c>
      <c r="G51" s="8" t="s">
        <v>114</v>
      </c>
      <c r="H51" s="11" t="s">
        <v>88</v>
      </c>
      <c r="I51" s="21" t="s">
        <v>822</v>
      </c>
      <c r="P51" s="5"/>
      <c r="Q51" s="5"/>
      <c r="R51" s="5"/>
      <c r="T51" s="5"/>
    </row>
    <row r="52" ht="28" spans="1:9">
      <c r="A52" s="1">
        <v>50</v>
      </c>
      <c r="B52" s="6">
        <f t="shared" si="1"/>
        <v>16689</v>
      </c>
      <c r="C52" s="6" t="str">
        <f t="shared" si="2"/>
        <v>4131</v>
      </c>
      <c r="E52" s="1" t="s">
        <v>112</v>
      </c>
      <c r="F52" s="11" t="s">
        <v>867</v>
      </c>
      <c r="G52" s="8" t="s">
        <v>114</v>
      </c>
      <c r="H52" s="11" t="s">
        <v>88</v>
      </c>
      <c r="I52" s="21" t="s">
        <v>822</v>
      </c>
    </row>
    <row r="53" ht="28" spans="1:9">
      <c r="A53" s="1">
        <v>51</v>
      </c>
      <c r="B53" s="6">
        <f t="shared" si="1"/>
        <v>16690</v>
      </c>
      <c r="C53" s="6" t="str">
        <f t="shared" si="2"/>
        <v>4132</v>
      </c>
      <c r="E53" s="1" t="s">
        <v>112</v>
      </c>
      <c r="F53" s="11" t="s">
        <v>868</v>
      </c>
      <c r="G53" s="8" t="s">
        <v>114</v>
      </c>
      <c r="H53" s="11" t="s">
        <v>88</v>
      </c>
      <c r="I53" s="21" t="s">
        <v>822</v>
      </c>
    </row>
    <row r="54" ht="28" spans="1:9">
      <c r="A54" s="1">
        <v>52</v>
      </c>
      <c r="B54" s="6">
        <f t="shared" si="1"/>
        <v>16691</v>
      </c>
      <c r="C54" s="6" t="str">
        <f t="shared" si="2"/>
        <v>4133</v>
      </c>
      <c r="E54" s="1" t="s">
        <v>112</v>
      </c>
      <c r="F54" s="11" t="s">
        <v>869</v>
      </c>
      <c r="G54" s="8" t="s">
        <v>114</v>
      </c>
      <c r="H54" s="11" t="s">
        <v>88</v>
      </c>
      <c r="I54" s="21" t="s">
        <v>822</v>
      </c>
    </row>
    <row r="55" spans="1:9">
      <c r="A55" s="1">
        <v>53</v>
      </c>
      <c r="B55" s="6">
        <f t="shared" si="1"/>
        <v>16692</v>
      </c>
      <c r="C55" s="6" t="str">
        <f t="shared" si="2"/>
        <v>4134</v>
      </c>
      <c r="E55" s="1" t="s">
        <v>112</v>
      </c>
      <c r="F55" s="11" t="s">
        <v>870</v>
      </c>
      <c r="G55" s="8" t="s">
        <v>114</v>
      </c>
      <c r="H55" s="11" t="s">
        <v>871</v>
      </c>
      <c r="I55" s="23" t="s">
        <v>872</v>
      </c>
    </row>
    <row r="56" spans="1:20">
      <c r="A56" s="1">
        <v>54</v>
      </c>
      <c r="B56" s="6">
        <f t="shared" si="1"/>
        <v>16693</v>
      </c>
      <c r="C56" s="6" t="str">
        <f t="shared" si="2"/>
        <v>4135</v>
      </c>
      <c r="E56" s="1" t="s">
        <v>112</v>
      </c>
      <c r="F56" s="11" t="s">
        <v>621</v>
      </c>
      <c r="G56" s="8" t="s">
        <v>114</v>
      </c>
      <c r="H56" s="11" t="s">
        <v>825</v>
      </c>
      <c r="I56" s="23" t="s">
        <v>872</v>
      </c>
      <c r="P56" s="5"/>
      <c r="Q56" s="5"/>
      <c r="R56" s="5"/>
      <c r="T56" s="5"/>
    </row>
    <row r="57" spans="1:20">
      <c r="A57" s="1">
        <v>55</v>
      </c>
      <c r="B57" s="6">
        <f t="shared" si="1"/>
        <v>16694</v>
      </c>
      <c r="C57" s="6" t="str">
        <f t="shared" si="2"/>
        <v>4136</v>
      </c>
      <c r="E57" s="1" t="s">
        <v>112</v>
      </c>
      <c r="F57" s="11" t="s">
        <v>620</v>
      </c>
      <c r="G57" s="8" t="s">
        <v>114</v>
      </c>
      <c r="H57" s="11" t="s">
        <v>873</v>
      </c>
      <c r="I57" s="23" t="s">
        <v>874</v>
      </c>
      <c r="P57" s="5"/>
      <c r="Q57" s="5"/>
      <c r="R57" s="5"/>
      <c r="T57" s="5"/>
    </row>
    <row r="58" spans="1:20">
      <c r="A58" s="1">
        <v>56</v>
      </c>
      <c r="B58" s="6">
        <f t="shared" si="1"/>
        <v>16695</v>
      </c>
      <c r="C58" s="6" t="str">
        <f t="shared" si="2"/>
        <v>4137</v>
      </c>
      <c r="E58" s="1" t="s">
        <v>112</v>
      </c>
      <c r="F58" s="11" t="s">
        <v>619</v>
      </c>
      <c r="G58" s="8" t="s">
        <v>114</v>
      </c>
      <c r="H58" s="8" t="s">
        <v>88</v>
      </c>
      <c r="I58" s="23" t="s">
        <v>875</v>
      </c>
      <c r="P58" s="5"/>
      <c r="Q58" s="5"/>
      <c r="R58" s="5"/>
      <c r="T58" s="5"/>
    </row>
    <row r="59" spans="1:20">
      <c r="A59" s="1">
        <v>57</v>
      </c>
      <c r="B59" s="6">
        <f t="shared" si="1"/>
        <v>16696</v>
      </c>
      <c r="C59" s="6" t="str">
        <f t="shared" si="2"/>
        <v>4138</v>
      </c>
      <c r="E59" s="1" t="s">
        <v>112</v>
      </c>
      <c r="F59" s="11" t="s">
        <v>618</v>
      </c>
      <c r="G59" s="8" t="s">
        <v>114</v>
      </c>
      <c r="H59" s="8" t="s">
        <v>88</v>
      </c>
      <c r="I59" s="23" t="s">
        <v>876</v>
      </c>
      <c r="P59" s="5"/>
      <c r="Q59" s="5"/>
      <c r="R59" s="5"/>
      <c r="T59" s="5"/>
    </row>
    <row r="60" spans="1:20">
      <c r="A60" s="1">
        <v>58</v>
      </c>
      <c r="B60" s="6">
        <f t="shared" si="1"/>
        <v>16697</v>
      </c>
      <c r="C60" s="6" t="str">
        <f t="shared" si="2"/>
        <v>4139</v>
      </c>
      <c r="E60" s="1" t="s">
        <v>112</v>
      </c>
      <c r="F60" s="11" t="s">
        <v>617</v>
      </c>
      <c r="G60" s="8" t="s">
        <v>114</v>
      </c>
      <c r="H60" s="8" t="s">
        <v>88</v>
      </c>
      <c r="I60" s="23" t="s">
        <v>877</v>
      </c>
      <c r="P60" s="5"/>
      <c r="Q60" s="5"/>
      <c r="R60" s="5"/>
      <c r="T60" s="5"/>
    </row>
    <row r="61" spans="1:20">
      <c r="A61" s="1">
        <v>59</v>
      </c>
      <c r="B61" s="6">
        <f t="shared" si="1"/>
        <v>16698</v>
      </c>
      <c r="C61" s="6" t="str">
        <f t="shared" si="2"/>
        <v>413A</v>
      </c>
      <c r="E61" s="1" t="s">
        <v>112</v>
      </c>
      <c r="F61" s="11" t="s">
        <v>878</v>
      </c>
      <c r="G61" s="8" t="s">
        <v>114</v>
      </c>
      <c r="H61" s="8" t="s">
        <v>879</v>
      </c>
      <c r="I61" s="23" t="s">
        <v>874</v>
      </c>
      <c r="P61" s="5"/>
      <c r="Q61" s="5"/>
      <c r="R61" s="5"/>
      <c r="T61" s="5"/>
    </row>
    <row r="62" spans="1:20">
      <c r="A62" s="1">
        <v>60</v>
      </c>
      <c r="B62" s="6">
        <f t="shared" si="1"/>
        <v>16699</v>
      </c>
      <c r="C62" s="6" t="str">
        <f t="shared" si="2"/>
        <v>413B</v>
      </c>
      <c r="E62" s="1" t="s">
        <v>112</v>
      </c>
      <c r="F62" s="11" t="s">
        <v>880</v>
      </c>
      <c r="G62" s="8" t="s">
        <v>114</v>
      </c>
      <c r="H62" s="8" t="s">
        <v>879</v>
      </c>
      <c r="I62" s="23" t="s">
        <v>874</v>
      </c>
      <c r="P62" s="5"/>
      <c r="Q62" s="5"/>
      <c r="R62" s="5"/>
      <c r="T62" s="5"/>
    </row>
    <row r="63" spans="1:20">
      <c r="A63" s="1">
        <v>61</v>
      </c>
      <c r="B63" s="6">
        <f t="shared" si="1"/>
        <v>16700</v>
      </c>
      <c r="C63" s="6" t="str">
        <f t="shared" si="2"/>
        <v>413C</v>
      </c>
      <c r="E63" s="1" t="s">
        <v>112</v>
      </c>
      <c r="F63" s="11" t="s">
        <v>881</v>
      </c>
      <c r="G63" s="8" t="s">
        <v>114</v>
      </c>
      <c r="H63" s="8" t="s">
        <v>879</v>
      </c>
      <c r="I63" s="23" t="s">
        <v>874</v>
      </c>
      <c r="P63" s="5"/>
      <c r="Q63" s="5"/>
      <c r="R63" s="5"/>
      <c r="T63" s="5"/>
    </row>
    <row r="64" spans="1:20">
      <c r="A64" s="1">
        <v>62</v>
      </c>
      <c r="B64" s="6">
        <f t="shared" si="1"/>
        <v>16701</v>
      </c>
      <c r="C64" s="6" t="str">
        <f t="shared" si="2"/>
        <v>413D</v>
      </c>
      <c r="E64" s="1" t="s">
        <v>112</v>
      </c>
      <c r="F64" s="11" t="s">
        <v>882</v>
      </c>
      <c r="G64" s="8" t="s">
        <v>114</v>
      </c>
      <c r="H64" s="8" t="s">
        <v>879</v>
      </c>
      <c r="I64" s="23" t="s">
        <v>874</v>
      </c>
      <c r="P64" s="5"/>
      <c r="Q64" s="5"/>
      <c r="R64" s="5"/>
      <c r="T64" s="5"/>
    </row>
    <row r="65" spans="1:20">
      <c r="A65" s="1">
        <v>63</v>
      </c>
      <c r="B65" s="6">
        <f t="shared" si="1"/>
        <v>16702</v>
      </c>
      <c r="C65" s="6" t="str">
        <f t="shared" si="2"/>
        <v>413E</v>
      </c>
      <c r="E65" s="1" t="s">
        <v>112</v>
      </c>
      <c r="F65" s="11" t="s">
        <v>883</v>
      </c>
      <c r="G65" s="8" t="s">
        <v>114</v>
      </c>
      <c r="H65" s="8" t="s">
        <v>879</v>
      </c>
      <c r="I65" s="23" t="s">
        <v>874</v>
      </c>
      <c r="P65" s="5"/>
      <c r="Q65" s="5"/>
      <c r="R65" s="5"/>
      <c r="T65" s="5"/>
    </row>
    <row r="66" spans="1:20">
      <c r="A66" s="1">
        <v>64</v>
      </c>
      <c r="B66" s="6">
        <f t="shared" si="1"/>
        <v>16703</v>
      </c>
      <c r="C66" s="6" t="str">
        <f t="shared" si="2"/>
        <v>413F</v>
      </c>
      <c r="E66" s="1" t="s">
        <v>112</v>
      </c>
      <c r="F66" s="11" t="s">
        <v>884</v>
      </c>
      <c r="G66" s="8" t="s">
        <v>114</v>
      </c>
      <c r="H66" s="8" t="s">
        <v>879</v>
      </c>
      <c r="I66" s="23" t="s">
        <v>874</v>
      </c>
      <c r="P66" s="5"/>
      <c r="Q66" s="5"/>
      <c r="R66" s="5"/>
      <c r="T66" s="5"/>
    </row>
    <row r="67" ht="56" spans="1:20">
      <c r="A67" s="6">
        <v>65</v>
      </c>
      <c r="B67" s="6">
        <f t="shared" si="1"/>
        <v>16704</v>
      </c>
      <c r="C67" s="6">
        <v>4140</v>
      </c>
      <c r="E67" s="1" t="s">
        <v>112</v>
      </c>
      <c r="F67" s="11" t="s">
        <v>885</v>
      </c>
      <c r="G67" s="8" t="s">
        <v>114</v>
      </c>
      <c r="H67" s="8"/>
      <c r="I67" s="24" t="s">
        <v>886</v>
      </c>
      <c r="P67" s="5"/>
      <c r="Q67" s="5"/>
      <c r="R67" s="5"/>
      <c r="T67" s="5"/>
    </row>
    <row r="68" ht="42" spans="1:20">
      <c r="A68" s="6">
        <v>66</v>
      </c>
      <c r="B68" s="6">
        <f t="shared" si="1"/>
        <v>16705</v>
      </c>
      <c r="C68" s="12">
        <v>4141</v>
      </c>
      <c r="D68" s="12"/>
      <c r="E68" s="12" t="s">
        <v>112</v>
      </c>
      <c r="F68" s="12" t="s">
        <v>887</v>
      </c>
      <c r="G68" s="12" t="s">
        <v>114</v>
      </c>
      <c r="H68" s="24"/>
      <c r="I68" s="24" t="s">
        <v>888</v>
      </c>
      <c r="P68" s="5"/>
      <c r="Q68" s="5"/>
      <c r="R68" s="5"/>
      <c r="T68" s="5"/>
    </row>
    <row r="69" s="5" customFormat="1" ht="70" spans="1:9">
      <c r="A69" s="6">
        <v>67</v>
      </c>
      <c r="B69" s="6">
        <f t="shared" si="1"/>
        <v>16706</v>
      </c>
      <c r="C69" s="12">
        <v>4142</v>
      </c>
      <c r="E69" s="12" t="s">
        <v>112</v>
      </c>
      <c r="F69" s="26" t="s">
        <v>402</v>
      </c>
      <c r="G69" s="12" t="s">
        <v>114</v>
      </c>
      <c r="H69" s="6" t="s">
        <v>889</v>
      </c>
      <c r="I69" s="31" t="s">
        <v>890</v>
      </c>
    </row>
    <row r="70" s="5" customFormat="1" ht="84" spans="1:9">
      <c r="A70" s="6">
        <v>68</v>
      </c>
      <c r="B70" s="6">
        <f>[1]WF_UserSet!$B$2+A70-1</f>
        <v>16707</v>
      </c>
      <c r="C70" s="12">
        <v>4143</v>
      </c>
      <c r="E70" s="12" t="s">
        <v>112</v>
      </c>
      <c r="F70" s="6" t="s">
        <v>891</v>
      </c>
      <c r="G70" s="12" t="s">
        <v>114</v>
      </c>
      <c r="H70" s="6"/>
      <c r="I70" s="31" t="s">
        <v>892</v>
      </c>
    </row>
    <row r="71" spans="1:20">
      <c r="A71" s="6">
        <v>69</v>
      </c>
      <c r="B71" s="6">
        <f>[1]WF_UserSet!$B$2+A71-1</f>
        <v>16708</v>
      </c>
      <c r="C71" s="12">
        <v>4144</v>
      </c>
      <c r="E71" s="12" t="s">
        <v>112</v>
      </c>
      <c r="F71" s="6" t="s">
        <v>893</v>
      </c>
      <c r="G71" s="12" t="s">
        <v>114</v>
      </c>
      <c r="H71" s="8" t="s">
        <v>879</v>
      </c>
      <c r="I71" s="23" t="s">
        <v>874</v>
      </c>
      <c r="P71" s="5"/>
      <c r="Q71" s="5"/>
      <c r="R71" s="5"/>
      <c r="T71" s="5"/>
    </row>
    <row r="72" spans="1:20">
      <c r="A72" s="6">
        <v>70</v>
      </c>
      <c r="B72" s="6">
        <f>[1]WF_UserSet!$B$2+A72-1</f>
        <v>16709</v>
      </c>
      <c r="C72" s="12">
        <v>4145</v>
      </c>
      <c r="E72" s="12" t="s">
        <v>112</v>
      </c>
      <c r="F72" s="6" t="s">
        <v>894</v>
      </c>
      <c r="G72" s="12" t="s">
        <v>114</v>
      </c>
      <c r="H72" s="8" t="s">
        <v>879</v>
      </c>
      <c r="I72" s="23" t="s">
        <v>874</v>
      </c>
      <c r="P72" s="5"/>
      <c r="Q72" s="5"/>
      <c r="R72" s="5"/>
      <c r="T72" s="5"/>
    </row>
    <row r="73" spans="1:20">
      <c r="A73" s="6">
        <v>71</v>
      </c>
      <c r="B73" s="6">
        <f>[1]WF_UserSet!$B$2+A73-1</f>
        <v>16710</v>
      </c>
      <c r="C73" s="12">
        <v>4146</v>
      </c>
      <c r="E73" s="12" t="s">
        <v>112</v>
      </c>
      <c r="F73" s="27" t="s">
        <v>895</v>
      </c>
      <c r="G73" s="12" t="s">
        <v>114</v>
      </c>
      <c r="H73" s="11" t="s">
        <v>838</v>
      </c>
      <c r="I73" s="23" t="s">
        <v>839</v>
      </c>
      <c r="P73" s="5"/>
      <c r="Q73" s="5"/>
      <c r="R73" s="5"/>
      <c r="T73" s="5"/>
    </row>
    <row r="74" spans="1:20">
      <c r="A74" s="6">
        <v>72</v>
      </c>
      <c r="B74" s="6">
        <f>[1]WF_UserSet!$B$2+A74-1</f>
        <v>16711</v>
      </c>
      <c r="C74" s="12">
        <v>4147</v>
      </c>
      <c r="E74" s="12" t="s">
        <v>112</v>
      </c>
      <c r="F74" s="27" t="s">
        <v>896</v>
      </c>
      <c r="G74" s="12" t="s">
        <v>114</v>
      </c>
      <c r="H74" s="11" t="s">
        <v>838</v>
      </c>
      <c r="I74" s="23" t="s">
        <v>839</v>
      </c>
      <c r="P74" s="5"/>
      <c r="Q74" s="5"/>
      <c r="R74" s="5"/>
      <c r="T74" s="5"/>
    </row>
    <row r="75" ht="70" spans="1:20">
      <c r="A75" s="6">
        <v>73</v>
      </c>
      <c r="B75" s="6">
        <v>16712</v>
      </c>
      <c r="C75" s="6">
        <v>4148</v>
      </c>
      <c r="D75" s="3"/>
      <c r="E75" s="3" t="s">
        <v>112</v>
      </c>
      <c r="F75" s="28" t="s">
        <v>897</v>
      </c>
      <c r="G75" s="3" t="s">
        <v>114</v>
      </c>
      <c r="H75" s="3"/>
      <c r="I75" s="28" t="s">
        <v>898</v>
      </c>
      <c r="L75" s="31"/>
      <c r="P75" s="5"/>
      <c r="Q75" s="5"/>
      <c r="R75" s="5"/>
      <c r="T75" s="5"/>
    </row>
    <row r="76" ht="28" spans="1:20">
      <c r="A76" s="6">
        <v>74</v>
      </c>
      <c r="B76" s="6">
        <v>16713</v>
      </c>
      <c r="C76" s="6">
        <v>4149</v>
      </c>
      <c r="E76" s="3" t="s">
        <v>112</v>
      </c>
      <c r="F76" s="26" t="s">
        <v>899</v>
      </c>
      <c r="G76" s="3" t="s">
        <v>114</v>
      </c>
      <c r="H76" s="6" t="s">
        <v>234</v>
      </c>
      <c r="I76" s="31" t="s">
        <v>900</v>
      </c>
      <c r="P76" s="5"/>
      <c r="Q76" s="5"/>
      <c r="R76" s="5"/>
      <c r="T76" s="5"/>
    </row>
    <row r="77" ht="42" spans="1:20">
      <c r="A77" s="6">
        <v>75</v>
      </c>
      <c r="B77" s="6">
        <v>16714</v>
      </c>
      <c r="C77" s="6" t="s">
        <v>901</v>
      </c>
      <c r="E77" s="3" t="s">
        <v>112</v>
      </c>
      <c r="F77" s="26" t="s">
        <v>902</v>
      </c>
      <c r="G77" s="3" t="s">
        <v>114</v>
      </c>
      <c r="I77" s="31" t="s">
        <v>903</v>
      </c>
      <c r="P77" s="5"/>
      <c r="Q77" s="5"/>
      <c r="R77" s="5"/>
      <c r="T77" s="5"/>
    </row>
    <row r="78" s="5" customFormat="1" ht="42" spans="1:9">
      <c r="A78" s="6">
        <v>76</v>
      </c>
      <c r="B78" s="6">
        <v>16715</v>
      </c>
      <c r="C78" s="6" t="s">
        <v>904</v>
      </c>
      <c r="E78" s="3" t="s">
        <v>112</v>
      </c>
      <c r="F78" s="26" t="s">
        <v>905</v>
      </c>
      <c r="G78" s="3" t="s">
        <v>114</v>
      </c>
      <c r="H78" s="6"/>
      <c r="I78" s="31" t="s">
        <v>906</v>
      </c>
    </row>
    <row r="79" s="4" customFormat="1" ht="84" spans="1:9">
      <c r="A79" s="9">
        <v>76</v>
      </c>
      <c r="B79" s="9">
        <v>16715</v>
      </c>
      <c r="C79" s="9" t="s">
        <v>907</v>
      </c>
      <c r="D79" s="17"/>
      <c r="E79" s="29" t="s">
        <v>112</v>
      </c>
      <c r="F79" s="30" t="s">
        <v>908</v>
      </c>
      <c r="G79" s="29" t="s">
        <v>114</v>
      </c>
      <c r="H79" s="9"/>
      <c r="I79" s="32" t="s">
        <v>909</v>
      </c>
    </row>
    <row r="80" spans="16:20">
      <c r="P80" s="5"/>
      <c r="Q80" s="5"/>
      <c r="R80" s="5"/>
      <c r="T80" s="5"/>
    </row>
    <row r="81" spans="16:20">
      <c r="P81" s="5"/>
      <c r="Q81" s="5"/>
      <c r="R81" s="5"/>
      <c r="T81" s="5"/>
    </row>
    <row r="82" spans="17:17">
      <c r="Q82" s="1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版本信息</vt:lpstr>
      <vt:lpstr>通讯格式</vt:lpstr>
      <vt:lpstr>WF_Version</vt:lpstr>
      <vt:lpstr>WF_Simplify</vt:lpstr>
      <vt:lpstr>WF_WorkMode</vt:lpstr>
      <vt:lpstr>WF_BAT</vt:lpstr>
      <vt:lpstr>WF_BMS</vt:lpstr>
      <vt:lpstr>WF_LINE</vt:lpstr>
      <vt:lpstr>WF_OP</vt:lpstr>
      <vt:lpstr>WF_PV</vt:lpstr>
      <vt:lpstr>WF_INV</vt:lpstr>
      <vt:lpstr>WF_FAN</vt:lpstr>
      <vt:lpstr>WF_NTC</vt:lpstr>
      <vt:lpstr>WF_FunctionSwitch</vt:lpstr>
      <vt:lpstr>WF_Time</vt:lpstr>
      <vt:lpstr>WF_PARA</vt:lpstr>
      <vt:lpstr>WF_Admin</vt:lpstr>
      <vt:lpstr>WF_FCT</vt:lpstr>
      <vt:lpstr>WF_Calibration</vt:lpstr>
      <vt:lpstr>WF_Generator</vt:lpstr>
      <vt:lpstr>WF_OTA</vt:lpstr>
      <vt:lpstr>WF_UserSet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毛健琨</cp:lastModifiedBy>
  <dcterms:created xsi:type="dcterms:W3CDTF">2023-09-05T10:35:00Z</dcterms:created>
  <dcterms:modified xsi:type="dcterms:W3CDTF">2025-02-20T06:48:55Z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756761F7168440628235233E072F967D</vt:lpwstr>
  </property>
  <property fmtid="{D5CDD505-2E9C-101B-9397-08002B2CF9AE}" pid="3" name="KSOProductBuildVer">
    <vt:lpwstr>2052-11.1.0.12763</vt:lpwstr>
  </property>
  <property fmtid="{D5CDD505-2E9C-101B-9397-08002B2CF9AE}" pid="4" name="KSOReadingLayout">
    <vt:bool>false</vt:bool>
  </property>
</Properties>
</file>